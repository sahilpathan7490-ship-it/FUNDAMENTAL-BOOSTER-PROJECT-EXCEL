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4AD8636A6B7FFCC4/Documents/Custom Office Templates/"/>
    </mc:Choice>
  </mc:AlternateContent>
  <xr:revisionPtr revIDLastSave="223" documentId="8_{31070E09-5EBF-4F45-A029-1EC0CE8BFEEB}" xr6:coauthVersionLast="47" xr6:coauthVersionMax="47" xr10:uidLastSave="{44084A6E-39C6-4DD7-9894-0B40154DBEAF}"/>
  <bookViews>
    <workbookView xWindow="-110" yWindow="-110" windowWidth="19420" windowHeight="10300" firstSheet="1" activeTab="4" xr2:uid="{86695D46-7290-46DF-B9AA-9FAEA968861D}"/>
  </bookViews>
  <sheets>
    <sheet name="PROJECT INSTRUCTIONS" sheetId="1" r:id="rId1"/>
    <sheet name="STUDENTS GRADE" sheetId="2" r:id="rId2"/>
    <sheet name="SALES DATA" sheetId="3" r:id="rId3"/>
    <sheet name="EMPLOYEE DATA" sheetId="4" r:id="rId4"/>
    <sheet name="ANSWER SHEET" sheetId="5" r:id="rId5"/>
    <sheet name="NEW TABLE"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 i="5" l="1"/>
  <c r="N25" i="5"/>
  <c r="O4" i="5"/>
  <c r="Q22" i="5"/>
  <c r="Q23" i="5"/>
  <c r="Q24" i="5"/>
  <c r="Q21" i="5"/>
  <c r="N22" i="5"/>
  <c r="N23" i="5"/>
  <c r="N24" i="5"/>
  <c r="N21" i="5"/>
  <c r="N15" i="5"/>
  <c r="N16" i="5"/>
  <c r="N17" i="5"/>
  <c r="N18" i="5"/>
  <c r="N14" i="5"/>
  <c r="H28" i="5"/>
  <c r="K44" i="5" a="1"/>
  <c r="K44" i="5" s="1"/>
  <c r="K12" i="5"/>
  <c r="K13" i="5"/>
  <c r="K14" i="5"/>
  <c r="K15" i="5"/>
  <c r="K19" i="5"/>
  <c r="K20" i="5"/>
  <c r="K21" i="5"/>
  <c r="K22" i="5"/>
  <c r="K23" i="5"/>
  <c r="K11" i="5"/>
  <c r="K3" i="5"/>
  <c r="K4" i="5"/>
  <c r="K5" i="5"/>
  <c r="K6" i="5"/>
  <c r="K2" i="5"/>
  <c r="H52" i="5"/>
  <c r="H53" i="5"/>
  <c r="H54" i="5"/>
  <c r="H55" i="5"/>
  <c r="H44" i="5"/>
  <c r="H45" i="5"/>
  <c r="H46" i="5"/>
  <c r="H47" i="5"/>
  <c r="H51" i="5"/>
  <c r="H43" i="5"/>
  <c r="H39" i="5"/>
  <c r="H31" i="5"/>
  <c r="B32" i="5"/>
  <c r="H6" i="5"/>
  <c r="M5" i="3"/>
  <c r="H23" i="5"/>
  <c r="C33" i="5"/>
  <c r="C34" i="5"/>
  <c r="C35" i="5"/>
  <c r="C36" i="5"/>
  <c r="C37" i="5"/>
  <c r="C38" i="5"/>
  <c r="C39" i="5"/>
  <c r="C40" i="5"/>
  <c r="C41" i="5"/>
  <c r="C42" i="5"/>
  <c r="C43" i="5"/>
  <c r="C44" i="5"/>
  <c r="C45" i="5"/>
  <c r="C46" i="5"/>
  <c r="C47" i="5"/>
  <c r="C48" i="5"/>
  <c r="C49" i="5"/>
  <c r="C50" i="5"/>
  <c r="C51" i="5"/>
  <c r="C32" i="5"/>
  <c r="B33" i="5"/>
  <c r="B34" i="5"/>
  <c r="B35" i="5"/>
  <c r="B36" i="5"/>
  <c r="B37" i="5"/>
  <c r="B38" i="5"/>
  <c r="B39" i="5"/>
  <c r="B40" i="5"/>
  <c r="B41" i="5"/>
  <c r="B42" i="5"/>
  <c r="B43" i="5"/>
  <c r="B44" i="5"/>
  <c r="B45" i="5"/>
  <c r="B46" i="5"/>
  <c r="B47" i="5"/>
  <c r="B48" i="5"/>
  <c r="B49" i="5"/>
  <c r="B50" i="5"/>
  <c r="B51" i="5"/>
  <c r="H2" i="2"/>
  <c r="F3" i="4"/>
  <c r="F4" i="4"/>
  <c r="F5" i="4"/>
  <c r="F6" i="4"/>
  <c r="F7" i="4"/>
  <c r="F8" i="4"/>
  <c r="F9" i="4"/>
  <c r="F10" i="4"/>
  <c r="F11" i="4"/>
  <c r="F12" i="4"/>
  <c r="F13" i="4"/>
  <c r="F14" i="4"/>
  <c r="F15" i="4"/>
  <c r="F16" i="4"/>
  <c r="F17" i="4"/>
  <c r="F18" i="4"/>
  <c r="F19" i="4"/>
  <c r="F20" i="4"/>
  <c r="F21" i="4"/>
  <c r="F2" i="4"/>
  <c r="B27" i="5"/>
  <c r="H20" i="5"/>
  <c r="J3" i="3"/>
  <c r="J4" i="3"/>
  <c r="J5" i="3"/>
  <c r="J6" i="3"/>
  <c r="J7" i="3"/>
  <c r="J8" i="3"/>
  <c r="J9" i="3"/>
  <c r="J10" i="3"/>
  <c r="J11" i="3"/>
  <c r="J12" i="3"/>
  <c r="J13" i="3"/>
  <c r="J14" i="3"/>
  <c r="J15" i="3"/>
  <c r="J16" i="3"/>
  <c r="J17" i="3"/>
  <c r="J18" i="3"/>
  <c r="J19" i="3"/>
  <c r="J20" i="3"/>
  <c r="J21" i="3"/>
  <c r="J2" i="3"/>
  <c r="G2" i="3"/>
  <c r="H2" i="3" s="1"/>
  <c r="I3" i="3"/>
  <c r="I4" i="3"/>
  <c r="I5" i="3"/>
  <c r="I6" i="3"/>
  <c r="I7" i="3"/>
  <c r="I8" i="3"/>
  <c r="I9" i="3"/>
  <c r="I10" i="3"/>
  <c r="I11" i="3"/>
  <c r="I12" i="3"/>
  <c r="I13" i="3"/>
  <c r="I14" i="3"/>
  <c r="I15" i="3"/>
  <c r="I16" i="3"/>
  <c r="I17" i="3"/>
  <c r="I18" i="3"/>
  <c r="I19" i="3"/>
  <c r="I20" i="3"/>
  <c r="I21" i="3"/>
  <c r="I2" i="3"/>
  <c r="K10" i="2"/>
  <c r="K3" i="2"/>
  <c r="K7" i="2"/>
  <c r="G2" i="2"/>
  <c r="G3" i="2"/>
  <c r="H3" i="2" s="1"/>
  <c r="G4" i="2"/>
  <c r="H4" i="2" s="1"/>
  <c r="G5" i="2"/>
  <c r="H5" i="2" s="1"/>
  <c r="G6" i="2"/>
  <c r="H6" i="2" s="1"/>
  <c r="G7" i="2"/>
  <c r="H7" i="2" s="1"/>
  <c r="G8" i="2"/>
  <c r="H8" i="2" s="1"/>
  <c r="G9" i="2"/>
  <c r="H9" i="2" s="1"/>
  <c r="G10" i="2"/>
  <c r="H10" i="2" s="1"/>
  <c r="G11" i="2"/>
  <c r="H11" i="2" s="1"/>
  <c r="G12" i="2"/>
  <c r="H12" i="2" s="1"/>
  <c r="G13" i="2"/>
  <c r="H13" i="2" s="1"/>
  <c r="G14" i="2"/>
  <c r="H14" i="2" s="1"/>
  <c r="G15" i="2"/>
  <c r="H15" i="2" s="1"/>
  <c r="G16" i="2"/>
  <c r="H16" i="2" s="1"/>
  <c r="G17" i="2"/>
  <c r="H17" i="2" s="1"/>
  <c r="G18" i="2"/>
  <c r="H18" i="2" s="1"/>
  <c r="G19" i="2"/>
  <c r="H19" i="2" s="1"/>
  <c r="G20" i="2"/>
  <c r="H20" i="2" s="1"/>
  <c r="G21" i="2"/>
  <c r="H21" i="2" s="1"/>
  <c r="H16" i="5"/>
  <c r="H14" i="5"/>
  <c r="H12" i="5"/>
  <c r="H2" i="5"/>
  <c r="E3" i="5"/>
  <c r="E4" i="5"/>
  <c r="E5" i="5"/>
  <c r="E6" i="5"/>
  <c r="E7" i="5"/>
  <c r="E8" i="5"/>
  <c r="E9" i="5"/>
  <c r="E10" i="5"/>
  <c r="E11" i="5"/>
  <c r="E12" i="5"/>
  <c r="E13" i="5"/>
  <c r="E14" i="5"/>
  <c r="E15" i="5"/>
  <c r="E16" i="5"/>
  <c r="E17" i="5"/>
  <c r="E18" i="5"/>
  <c r="E19" i="5"/>
  <c r="E20" i="5"/>
  <c r="E21" i="5"/>
  <c r="E2" i="5"/>
  <c r="B21" i="5"/>
  <c r="B2" i="5"/>
  <c r="B3" i="5"/>
  <c r="B4" i="5"/>
  <c r="B5" i="5"/>
  <c r="B6" i="5"/>
  <c r="B7" i="5"/>
  <c r="B8" i="5"/>
  <c r="B9" i="5"/>
  <c r="B10" i="5"/>
  <c r="B11" i="5"/>
  <c r="B12" i="5"/>
  <c r="B13" i="5"/>
  <c r="B14" i="5"/>
  <c r="B15" i="5"/>
  <c r="B16" i="5"/>
  <c r="B17" i="5"/>
  <c r="B18" i="5"/>
  <c r="B19" i="5"/>
  <c r="B20" i="5"/>
  <c r="G3" i="3"/>
  <c r="H3" i="3" s="1"/>
  <c r="G4" i="3"/>
  <c r="H4" i="3" s="1"/>
  <c r="G5" i="3"/>
  <c r="H5" i="3" s="1"/>
  <c r="G6" i="3"/>
  <c r="H6" i="3" s="1"/>
  <c r="G7" i="3"/>
  <c r="H7" i="3" s="1"/>
  <c r="G8" i="3"/>
  <c r="H8" i="3" s="1"/>
  <c r="G9" i="3"/>
  <c r="H9" i="3" s="1"/>
  <c r="G10" i="3"/>
  <c r="H10" i="3" s="1"/>
  <c r="G11" i="3"/>
  <c r="H11" i="3" s="1"/>
  <c r="G12" i="3"/>
  <c r="H12" i="3" s="1"/>
  <c r="G13" i="3"/>
  <c r="H13" i="3" s="1"/>
  <c r="G14" i="3"/>
  <c r="H14" i="3" s="1"/>
  <c r="G15" i="3"/>
  <c r="H15" i="3" s="1"/>
  <c r="G16" i="3"/>
  <c r="H16" i="3" s="1"/>
  <c r="G17" i="3"/>
  <c r="H17" i="3" s="1"/>
  <c r="G18" i="3"/>
  <c r="H18" i="3" s="1"/>
  <c r="G19" i="3"/>
  <c r="H19" i="3" s="1"/>
  <c r="G20" i="3"/>
  <c r="H20" i="3" s="1"/>
  <c r="G21" i="3"/>
  <c r="H21" i="3" s="1"/>
  <c r="I35" i="5" a="1"/>
  <c r="Q25" i="5" l="1"/>
  <c r="I35"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<sst xmlns="http://schemas.openxmlformats.org/spreadsheetml/2006/main" count="242" uniqueCount="190">
  <si>
    <r>
      <t xml:space="preserve">Topics:
</t>
    </r>
    <r>
      <rPr>
        <sz val="11"/>
        <color theme="1"/>
        <rFont val="Calibri"/>
        <family val="2"/>
      </rPr>
      <t>- Relative &amp; Absolute References, Formatting, Data Input
- IF Formulas, Nested IFs, IF with AND/OR
- COUNTIFS, SUMIFS, AVERAGEIFS
- Lookup Functions (VLOOKUP, XLOOKUP, XMATCH)
- INDEX/MATCH for dynamic searches
- TEXT Functions for string manipulations
- INDIRECT and OFFSET for dynamic references
- Date/Time, Math Functions, FILTER function</t>
    </r>
    <r>
      <rPr>
        <b/>
        <sz val="11"/>
        <color theme="1"/>
        <rFont val="Calibri"/>
        <family val="2"/>
      </rPr>
      <t xml:space="preserve">
</t>
    </r>
    <r>
      <rPr>
        <sz val="11"/>
        <color theme="1"/>
        <rFont val="Calibri"/>
        <family val="2"/>
      </rPr>
      <t xml:space="preserve">
</t>
    </r>
    <r>
      <rPr>
        <b/>
        <sz val="11"/>
        <color rgb="FF38761D"/>
        <rFont val="Calibri"/>
        <family val="2"/>
      </rPr>
      <t>Main Tasks:</t>
    </r>
    <r>
      <rPr>
        <sz val="11"/>
        <color rgb="FF38761D"/>
        <rFont val="Calibri"/>
        <family val="2"/>
      </rPr>
      <t xml:space="preserve">
1. Apply IF formulas to classify student grades.
2. Use COUNTIFS to count students scoring above 60.
3. Use VLOOKUP to find a product price from sales data.
4. Apply XLOOKUP to fetch employee salaries dynamically.
5. Format and analyze date of joining in Employee data.
6. Use FILTER function to extract students with grades above 80.</t>
    </r>
    <r>
      <rPr>
        <sz val="11"/>
        <color theme="1"/>
        <rFont val="Calibri"/>
        <family val="2"/>
      </rPr>
      <t xml:space="preserve">
</t>
    </r>
    <r>
      <rPr>
        <b/>
        <sz val="11"/>
        <color theme="1"/>
        <rFont val="Calibri"/>
        <family val="2"/>
      </rPr>
      <t xml:space="preserve">Deliverable:
</t>
    </r>
    <r>
      <rPr>
        <sz val="11"/>
        <color theme="1"/>
        <rFont val="Calibri"/>
        <family val="2"/>
      </rPr>
      <t>Complete the given worksheets by applying the required formulas in respective sheets.</t>
    </r>
  </si>
  <si>
    <t>Essential Tasks</t>
  </si>
  <si>
    <t>Relative &amp; Absolute Cell References, Formatting, and Data Input</t>
  </si>
  <si>
    <t>Enter and format data (bold, italic, currency, date, custom formats).</t>
  </si>
  <si>
    <t>Use absolute ($A$1) and relative (A1) references in formulas.</t>
  </si>
  <si>
    <t>Using IF Formula &amp; Nesting IF Formulas</t>
  </si>
  <si>
    <t>Classify students' grades based on their scores.</t>
  </si>
  <si>
    <t>Compute discounts for sales based on price thresholds.</t>
  </si>
  <si>
    <t>Using IF with AND/OR Formulas</t>
  </si>
  <si>
    <t>Identify students who scored above 80 in both Math &amp; Science using IF(AND(...)).</t>
  </si>
  <si>
    <t>Determine whether a product is eligible for discount using IF(OR(...)).</t>
  </si>
  <si>
    <t>COUNTIFS, SUMIFS, AVERAGEIFS</t>
  </si>
  <si>
    <t>Count the number of students who scored above 50 in Math.</t>
  </si>
  <si>
    <t>Sum total sales for a specific region and product.</t>
  </si>
  <si>
    <t>Calculate the average score for students who scored above 60.</t>
  </si>
  <si>
    <t>VLOOKUP Function</t>
  </si>
  <si>
    <t>Fetch student names based on ID from a separate dataset.</t>
  </si>
  <si>
    <t>Retrieve product prices based on product codes.</t>
  </si>
  <si>
    <t>INDEX and MATCH Functions</t>
  </si>
  <si>
    <t>Find sales values for a specific salesperson in a specific month.</t>
  </si>
  <si>
    <t>Look up employee details dynamically without column restrictions.</t>
  </si>
  <si>
    <t>Excel TEXT Functions</t>
  </si>
  <si>
    <t>Extract the first name from full names using LEFT and FIND.</t>
  </si>
  <si>
    <t>Convert names to uppercase/lowercase using UPPER(), LOWER().</t>
  </si>
  <si>
    <t>XLOOKUP Function</t>
  </si>
  <si>
    <t>Search for salesperson performance based on flexible search criteria.</t>
  </si>
  <si>
    <t>Find employee salaries without worrying about sorted data.</t>
  </si>
  <si>
    <t>XMATCH Function</t>
  </si>
  <si>
    <t>Find the position of a product in a sales list.</t>
  </si>
  <si>
    <t>INDIRECT Function</t>
  </si>
  <si>
    <t>Dynamically reference a cell range using INDIRECT.</t>
  </si>
  <si>
    <t>OFFSET Function</t>
  </si>
  <si>
    <t>Create dynamic ranges for sales trends.</t>
  </si>
  <si>
    <t>Date and Time Functions</t>
  </si>
  <si>
    <t>Calculate age from date of birth.</t>
  </si>
  <si>
    <t>Find the difference in days between two dates.</t>
  </si>
  <si>
    <t>Math Functions</t>
  </si>
  <si>
    <t>Use ROUND(), CEILING(), and FLOOR() for financial calculations.</t>
  </si>
  <si>
    <t>Return Multiple Values using FILTER Function</t>
  </si>
  <si>
    <t>Extract a list of top-performing students based on scores.</t>
  </si>
  <si>
    <t>Student ID</t>
  </si>
  <si>
    <t>Name</t>
  </si>
  <si>
    <t>Math</t>
  </si>
  <si>
    <t>Science</t>
  </si>
  <si>
    <t>English</t>
  </si>
  <si>
    <t>Enrollment Date</t>
  </si>
  <si>
    <t>Student 1</t>
  </si>
  <si>
    <t>Student 2</t>
  </si>
  <si>
    <t>Student 3</t>
  </si>
  <si>
    <t>Student 4</t>
  </si>
  <si>
    <t>Student 5</t>
  </si>
  <si>
    <t>Student 6</t>
  </si>
  <si>
    <t>Student 7</t>
  </si>
  <si>
    <t>Student 8</t>
  </si>
  <si>
    <t>Student 9</t>
  </si>
  <si>
    <t>Student 10</t>
  </si>
  <si>
    <t>Student 11</t>
  </si>
  <si>
    <t>Student 12</t>
  </si>
  <si>
    <t>Student 13</t>
  </si>
  <si>
    <t>Student 14</t>
  </si>
  <si>
    <t>Student 15</t>
  </si>
  <si>
    <t>Student 16</t>
  </si>
  <si>
    <t>Student 17</t>
  </si>
  <si>
    <t>Student 18</t>
  </si>
  <si>
    <t>Student 19</t>
  </si>
  <si>
    <t>Student 20</t>
  </si>
  <si>
    <t>Sales ID</t>
  </si>
  <si>
    <t>Product</t>
  </si>
  <si>
    <t>Region</t>
  </si>
  <si>
    <t>Salesperson</t>
  </si>
  <si>
    <t>Amount</t>
  </si>
  <si>
    <t>Date</t>
  </si>
  <si>
    <t>Keyboard</t>
  </si>
  <si>
    <t>South</t>
  </si>
  <si>
    <t>Person 1</t>
  </si>
  <si>
    <t>Printer</t>
  </si>
  <si>
    <t>West</t>
  </si>
  <si>
    <t>Person 2</t>
  </si>
  <si>
    <t>Mouse</t>
  </si>
  <si>
    <t>Person 3</t>
  </si>
  <si>
    <t>East</t>
  </si>
  <si>
    <t>Person 4</t>
  </si>
  <si>
    <t>North</t>
  </si>
  <si>
    <t>Person 5</t>
  </si>
  <si>
    <t>Person 6</t>
  </si>
  <si>
    <t>Person 7</t>
  </si>
  <si>
    <t>Person 8</t>
  </si>
  <si>
    <t>Person 9</t>
  </si>
  <si>
    <t>Person 10</t>
  </si>
  <si>
    <t>Person 11</t>
  </si>
  <si>
    <t>Monitor</t>
  </si>
  <si>
    <t>Person 12</t>
  </si>
  <si>
    <t>Laptop</t>
  </si>
  <si>
    <t>Person 13</t>
  </si>
  <si>
    <t>Person 14</t>
  </si>
  <si>
    <t>Person 15</t>
  </si>
  <si>
    <t>Person 16</t>
  </si>
  <si>
    <t>Person 17</t>
  </si>
  <si>
    <t>Person 18</t>
  </si>
  <si>
    <t>Person 19</t>
  </si>
  <si>
    <t>Person 20</t>
  </si>
  <si>
    <t>Employee ID</t>
  </si>
  <si>
    <t>Department</t>
  </si>
  <si>
    <t>Salary</t>
  </si>
  <si>
    <t>Joining Date</t>
  </si>
  <si>
    <t>Employee 1</t>
  </si>
  <si>
    <t>Finance</t>
  </si>
  <si>
    <t>Employee 2</t>
  </si>
  <si>
    <t>Employee 3</t>
  </si>
  <si>
    <t>HR</t>
  </si>
  <si>
    <t>Employee 4</t>
  </si>
  <si>
    <t>Employee 5</t>
  </si>
  <si>
    <t>IT</t>
  </si>
  <si>
    <t>Employee 6</t>
  </si>
  <si>
    <t>Employee 7</t>
  </si>
  <si>
    <t>Marketing</t>
  </si>
  <si>
    <t>Employee 8</t>
  </si>
  <si>
    <t>Employee 9</t>
  </si>
  <si>
    <t>Employee 10</t>
  </si>
  <si>
    <t>Employee 11</t>
  </si>
  <si>
    <t>Employee 12</t>
  </si>
  <si>
    <t>Employee 13</t>
  </si>
  <si>
    <t>Employee 14</t>
  </si>
  <si>
    <t>Employee 15</t>
  </si>
  <si>
    <t>Employee 16</t>
  </si>
  <si>
    <t>Employee 17</t>
  </si>
  <si>
    <t>Employee 18</t>
  </si>
  <si>
    <t>Employee 19</t>
  </si>
  <si>
    <t>Employee 20</t>
  </si>
  <si>
    <t>THRESHOLD DISCOUNT</t>
  </si>
  <si>
    <t>FINAL PRICE</t>
  </si>
  <si>
    <t>STUDENT ABOVE 80 IN MATH &amp;SCIENCE</t>
  </si>
  <si>
    <t>IF+OR</t>
  </si>
  <si>
    <t>15</t>
  </si>
  <si>
    <t>16</t>
  </si>
  <si>
    <t>19</t>
  </si>
  <si>
    <t>TOTAL SALES OF LAPTOP IN EAST REGION</t>
  </si>
  <si>
    <t>20</t>
  </si>
  <si>
    <t>AVERAGEIFS IN MATH 60ABOVE</t>
  </si>
  <si>
    <t>AVERAGEIFS IN SCIENCE 60ABOVE</t>
  </si>
  <si>
    <t xml:space="preserve">AVERAGEIFS IN ENGLISH 60 ABOVE </t>
  </si>
  <si>
    <t>21</t>
  </si>
  <si>
    <t>VLOOKUP FETCH NAMES FROM ID</t>
  </si>
  <si>
    <t>VLOOKUP PRODUCT PRICE BASED ON PRODUCT CODE</t>
  </si>
  <si>
    <t>24</t>
  </si>
  <si>
    <t>25</t>
  </si>
  <si>
    <t>INDEX AND MATCH SALES VALUE FOR  SPECIFIC SALES PERSON FOR SPECIFIC MONTH</t>
  </si>
  <si>
    <t>joining month</t>
  </si>
  <si>
    <t>AVERAGE</t>
  </si>
  <si>
    <t>GRADE</t>
  </si>
  <si>
    <t>STUDENTS WHO SCORED ABOVE 60 IN MATH</t>
  </si>
  <si>
    <t>STUDENTS WHO SCORED ABOVED 60 IN ENGLISH</t>
  </si>
  <si>
    <t>STUDENTS WHO SCORED ABOVE 60 IN ENGLISH</t>
  </si>
  <si>
    <t>SCIENCE</t>
  </si>
  <si>
    <t>ED 60 IN</t>
  </si>
  <si>
    <t>PRODUCT CODE</t>
  </si>
  <si>
    <t>MONTH</t>
  </si>
  <si>
    <r>
      <t>C</t>
    </r>
    <r>
      <rPr>
        <b/>
        <i/>
        <sz val="11"/>
        <color theme="0"/>
        <rFont val="Aptos Narrow"/>
        <family val="2"/>
        <scheme val="minor"/>
      </rPr>
      <t>OUNTIF  STUDENT WHO SCORED MORE THAN 50 IN MATH</t>
    </r>
  </si>
  <si>
    <t>EMPLOYEE ID</t>
  </si>
  <si>
    <t>SALARY</t>
  </si>
  <si>
    <t>ABSOLUTE REFERENCE</t>
  </si>
  <si>
    <t>RELATIVE REFERENCE</t>
  </si>
  <si>
    <t>SUM OF TOTAL SALES OF LAPTOPN IN WEST REGION</t>
  </si>
  <si>
    <t>XMATCH FIND THE POSITION OF A PRODUCT IN SALES LIST</t>
  </si>
  <si>
    <t>INDIRECT FUNCTION</t>
  </si>
  <si>
    <t>B2:B50</t>
  </si>
  <si>
    <t xml:space="preserve"> OFFSET CREATE DYNAMICALLY RANGES FOR SALES TRENDS</t>
  </si>
  <si>
    <t xml:space="preserve"> DATE FUNCTION CALCULATE AGE FROM DATE OF BIRTH</t>
  </si>
  <si>
    <t>ID</t>
  </si>
  <si>
    <t xml:space="preserve"> Full Name</t>
  </si>
  <si>
    <t>DOB</t>
  </si>
  <si>
    <t>joining date</t>
  </si>
  <si>
    <t xml:space="preserve">date </t>
  </si>
  <si>
    <t xml:space="preserve">Harsh Joshi </t>
  </si>
  <si>
    <t>Kunj Mistry</t>
  </si>
  <si>
    <t>Ahmed Bheshaniya</t>
  </si>
  <si>
    <t>Shrey Patel</t>
  </si>
  <si>
    <t>DATE DIFFERENCE BETWEEN 2 DATES</t>
  </si>
  <si>
    <t>MATH FUNCTION USE ROUND()</t>
  </si>
  <si>
    <t>MATH FUNCTION USE CELING()</t>
  </si>
  <si>
    <t>MATH FUNCTION USE FLOOR()</t>
  </si>
  <si>
    <t>EXTRACT A LIST OF TOP PERFORMING STUDENTS BASED ON SCORES</t>
  </si>
  <si>
    <t>INDEX AND MATCH EMPLOYEE SALARIES WITHOUT WORRING ABOUT SORTED DATA</t>
  </si>
  <si>
    <t>PR. 1 Fundamental Booster</t>
  </si>
  <si>
    <t>XLOOKUP FIND EMPLOYEES SALARIES WITHOUT WORRIED ABOUT SORTED DATA</t>
  </si>
  <si>
    <t>XLOOKUP SEARCH FOR SLESPERSON PERFORMANCE BASED O FLEXIBLE SEARCH CRITERIA</t>
  </si>
  <si>
    <t>TEXT FUNCTION EXTRACT FIRST NAMES FROM FULL NAMES USING LEFT AND FIND</t>
  </si>
  <si>
    <t>TEXT UPPER FUNCTION</t>
  </si>
  <si>
    <t>33 TEXT LOWER FUNCTION</t>
  </si>
  <si>
    <t>SAHIL PATHAN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</si>
</sst>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6" x14ac:knownFonts="1">
    <font>
      <sz val="11"/>
      <color theme="1"/>
      <name val="Aptos Narrow"/>
      <family val="2"/>
      <scheme val="minor"/>
    </font>
    <font>
      <b/>
      <sz val="11"/>
      <color theme="1"/>
      <name val="Calibri"/>
      <family val="2"/>
    </font>
    <font>
      <sz val="11"/>
      <color theme="1"/>
      <name val="Calibri"/>
      <family val="2"/>
    </font>
    <font>
      <b/>
      <sz val="11"/>
      <color rgb="FF38761D"/>
      <name val="Calibri"/>
      <family val="2"/>
    </font>
    <font>
      <sz val="11"/>
      <color rgb="FF38761D"/>
      <name val="Calibri"/>
      <family val="2"/>
    </font>
    <font>
      <b/>
      <sz val="11"/>
      <color rgb="FFFF0000"/>
      <name val="Calibri"/>
      <family val="2"/>
    </font>
    <font>
      <b/>
      <sz val="11"/>
      <color theme="1"/>
      <name val="Aptos Narrow"/>
      <family val="2"/>
      <scheme val="minor"/>
    </font>
    <font>
      <b/>
      <i/>
      <sz val="11"/>
      <color theme="1"/>
      <name val="Calibri"/>
      <family val="2"/>
    </font>
    <font>
      <b/>
      <i/>
      <sz val="11"/>
      <color theme="1"/>
      <name val="Aptos Narrow"/>
      <family val="2"/>
      <scheme val="minor"/>
    </font>
    <font>
      <sz val="8"/>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0"/>
      <name val="Aptos Display"/>
      <family val="2"/>
      <scheme val="major"/>
    </font>
    <font>
      <b/>
      <i/>
      <sz val="11"/>
      <color theme="0"/>
      <name val="Aptos Narrow"/>
      <family val="2"/>
      <scheme val="minor"/>
    </font>
    <font>
      <b/>
      <i/>
      <sz val="11"/>
      <color theme="0"/>
      <name val="Calibri"/>
      <family val="2"/>
    </font>
    <font>
      <sz val="10"/>
      <color theme="1"/>
      <name val="Aptos Narrow"/>
      <family val="2"/>
      <scheme val="minor"/>
    </font>
    <font>
      <sz val="12"/>
      <color theme="2"/>
      <name val="Aptos Narrow"/>
      <family val="2"/>
      <scheme val="minor"/>
    </font>
    <font>
      <sz val="11"/>
      <color theme="3" tint="0.249977111117893"/>
      <name val="Aptos Narrow"/>
      <family val="2"/>
      <scheme val="minor"/>
    </font>
    <font>
      <b/>
      <sz val="11"/>
      <color theme="2"/>
      <name val="Aptos Narrow"/>
      <family val="2"/>
      <scheme val="minor"/>
    </font>
    <font>
      <b/>
      <sz val="12"/>
      <color theme="2"/>
      <name val="Aptos Narrow"/>
      <family val="2"/>
      <scheme val="minor"/>
    </font>
    <font>
      <b/>
      <sz val="12"/>
      <color theme="1"/>
      <name val="Aptos Narrow"/>
      <family val="2"/>
      <scheme val="minor"/>
    </font>
    <font>
      <sz val="11"/>
      <color rgb="FF000000"/>
      <name val="Calibri"/>
      <family val="2"/>
    </font>
    <font>
      <b/>
      <sz val="11"/>
      <color rgb="FF000000"/>
      <name val="Calibri"/>
      <family val="2"/>
    </font>
    <font>
      <sz val="11"/>
      <color theme="2"/>
      <name val="Aptos Narrow"/>
      <family val="2"/>
      <scheme val="minor"/>
    </font>
    <font>
      <u/>
      <sz val="11"/>
      <color theme="1"/>
      <name val="Aptos Narrow"/>
      <family val="2"/>
      <scheme val="minor"/>
    </font>
  </fonts>
  <fills count="23">
    <fill>
      <patternFill patternType="none"/>
    </fill>
    <fill>
      <patternFill patternType="gray125"/>
    </fill>
    <fill>
      <patternFill patternType="solid">
        <fgColor rgb="FFFFF2CC"/>
        <bgColor indexed="64"/>
      </patternFill>
    </fill>
    <fill>
      <patternFill patternType="solid">
        <fgColor theme="1"/>
        <bgColor indexed="64"/>
      </patternFill>
    </fill>
    <fill>
      <patternFill patternType="solid">
        <fgColor rgb="FFC00000"/>
        <bgColor indexed="64"/>
      </patternFill>
    </fill>
    <fill>
      <patternFill patternType="solid">
        <fgColor rgb="FFFFF2CC"/>
        <bgColor rgb="FFFFF2CC"/>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3" tint="0.749992370372631"/>
        <bgColor indexed="64"/>
      </patternFill>
    </fill>
    <fill>
      <patternFill patternType="solid">
        <fgColor rgb="FFFFC000"/>
        <bgColor indexed="64"/>
      </patternFill>
    </fill>
    <fill>
      <patternFill patternType="solid">
        <fgColor theme="3" tint="9.9978637043366805E-2"/>
        <bgColor indexed="64"/>
      </patternFill>
    </fill>
    <fill>
      <patternFill patternType="solid">
        <fgColor theme="4" tint="0.39997558519241921"/>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theme="4"/>
      </patternFill>
    </fill>
    <fill>
      <patternFill patternType="solid">
        <fgColor theme="2"/>
        <bgColor indexed="64"/>
      </patternFill>
    </fill>
    <fill>
      <patternFill patternType="solid">
        <fgColor theme="3" tint="9.9978637043366805E-2"/>
        <bgColor theme="4" tint="0.79998168889431442"/>
      </patternFill>
    </fill>
    <fill>
      <patternFill patternType="solid">
        <fgColor theme="3" tint="0.499984740745262"/>
        <bgColor theme="4" tint="0.79998168889431442"/>
      </patternFill>
    </fill>
    <fill>
      <patternFill patternType="solid">
        <fgColor theme="0"/>
        <bgColor theme="4" tint="0.79998168889431442"/>
      </patternFill>
    </fill>
    <fill>
      <patternFill patternType="solid">
        <fgColor theme="0"/>
        <bgColor indexed="64"/>
      </patternFill>
    </fill>
    <fill>
      <patternFill patternType="solid">
        <fgColor theme="3"/>
        <bgColor indexed="64"/>
      </patternFill>
    </fill>
  </fills>
  <borders count="3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thin">
        <color rgb="FF000000"/>
      </left>
      <right style="thin">
        <color rgb="FF000000"/>
      </right>
      <top style="thin">
        <color rgb="FF000000"/>
      </top>
      <bottom style="thin">
        <color rgb="FF000000"/>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medium">
        <color rgb="FF000000"/>
      </left>
      <right/>
      <top/>
      <bottom/>
      <diagonal/>
    </border>
    <border>
      <left style="thin">
        <color theme="8"/>
      </left>
      <right style="thin">
        <color theme="8"/>
      </right>
      <top style="thin">
        <color theme="8"/>
      </top>
      <bottom style="thin">
        <color theme="8"/>
      </bottom>
      <diagonal/>
    </border>
    <border>
      <left style="medium">
        <color rgb="FF000000"/>
      </left>
      <right/>
      <top style="medium">
        <color rgb="FF000000"/>
      </top>
      <bottom/>
      <diagonal/>
    </border>
    <border>
      <left style="medium">
        <color rgb="FF000000"/>
      </left>
      <right style="thin">
        <color theme="1"/>
      </right>
      <top style="medium">
        <color rgb="FF000000"/>
      </top>
      <bottom/>
      <diagonal/>
    </border>
    <border>
      <left style="medium">
        <color rgb="FF000000"/>
      </left>
      <right/>
      <top style="medium">
        <color rgb="FF000000"/>
      </top>
      <bottom style="thin">
        <color theme="1"/>
      </bottom>
      <diagonal/>
    </border>
    <border>
      <left style="medium">
        <color rgb="FF000000"/>
      </left>
      <right style="thin">
        <color theme="1"/>
      </right>
      <top style="double">
        <color theme="1"/>
      </top>
      <bottom style="thin">
        <color theme="1"/>
      </bottom>
      <diagonal/>
    </border>
    <border>
      <left style="medium">
        <color rgb="FF000000"/>
      </left>
      <right/>
      <top style="thin">
        <color theme="8"/>
      </top>
      <bottom/>
      <diagonal/>
    </border>
    <border>
      <left style="thin">
        <color theme="8"/>
      </left>
      <right style="thin">
        <color theme="8"/>
      </right>
      <top style="thin">
        <color theme="8"/>
      </top>
      <bottom/>
      <diagonal/>
    </border>
    <border>
      <left style="medium">
        <color rgb="FF000000"/>
      </left>
      <right/>
      <top style="medium">
        <color theme="8"/>
      </top>
      <bottom/>
      <diagonal/>
    </border>
    <border>
      <left style="thin">
        <color theme="8"/>
      </left>
      <right/>
      <top style="medium">
        <color theme="8"/>
      </top>
      <bottom/>
      <diagonal/>
    </border>
    <border>
      <left style="thin">
        <color theme="8"/>
      </left>
      <right style="thin">
        <color theme="8"/>
      </right>
      <top style="medium">
        <color theme="8"/>
      </top>
      <bottom/>
      <diagonal/>
    </border>
    <border>
      <left style="thin">
        <color theme="8"/>
      </left>
      <right/>
      <top style="thin">
        <color theme="8"/>
      </top>
      <bottom/>
      <diagonal/>
    </border>
    <border>
      <left style="medium">
        <color rgb="FF000000"/>
      </left>
      <right/>
      <top style="medium">
        <color rgb="FF000000"/>
      </top>
      <bottom style="medium">
        <color rgb="FF000000"/>
      </bottom>
      <diagonal/>
    </border>
    <border>
      <left style="medium">
        <color rgb="FF000000"/>
      </left>
      <right/>
      <top style="thin">
        <color theme="8"/>
      </top>
      <bottom style="thin">
        <color theme="8"/>
      </bottom>
      <diagonal/>
    </border>
    <border>
      <left style="thin">
        <color theme="8"/>
      </left>
      <right/>
      <top style="thin">
        <color theme="8"/>
      </top>
      <bottom style="thin">
        <color theme="8"/>
      </bottom>
      <diagonal/>
    </border>
    <border>
      <left/>
      <right style="thin">
        <color theme="4" tint="0.39997558519241921"/>
      </right>
      <top style="thin">
        <color theme="4" tint="0.39997558519241921"/>
      </top>
      <bottom/>
      <diagonal/>
    </border>
    <border>
      <left style="thin">
        <color theme="4" tint="0.39997558519241921"/>
      </left>
      <right/>
      <top style="thin">
        <color theme="4" tint="0.39997558519241921"/>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medium">
        <color rgb="FFCCCCCC"/>
      </left>
      <right/>
      <top/>
      <bottom/>
      <diagonal/>
    </border>
    <border>
      <left style="thin">
        <color indexed="64"/>
      </left>
      <right style="thin">
        <color indexed="64"/>
      </right>
      <top style="thin">
        <color indexed="64"/>
      </top>
      <bottom/>
      <diagonal/>
    </border>
    <border>
      <left style="medium">
        <color rgb="FFCCCCCC"/>
      </left>
      <right style="medium">
        <color rgb="FF000000"/>
      </right>
      <top/>
      <bottom style="medium">
        <color rgb="FF000000"/>
      </bottom>
      <diagonal/>
    </border>
    <border>
      <left/>
      <right style="medium">
        <color rgb="FF000000"/>
      </right>
      <top/>
      <bottom/>
      <diagonal/>
    </border>
    <border>
      <left style="medium">
        <color rgb="FFCCCCCC"/>
      </left>
      <right style="thin">
        <color indexed="64"/>
      </right>
      <top/>
      <bottom style="medium">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style="thin">
        <color rgb="FF000000"/>
      </left>
      <right/>
      <top style="thin">
        <color theme="4" tint="0.39997558519241921"/>
      </top>
      <bottom/>
      <diagonal/>
    </border>
    <border>
      <left style="thin">
        <color rgb="FF000000"/>
      </left>
      <right style="thin">
        <color rgb="FF000000"/>
      </right>
      <top style="thin">
        <color theme="4" tint="0.39997558519241921"/>
      </top>
      <bottom/>
      <diagonal/>
    </border>
    <border>
      <left style="thin">
        <color rgb="FF000000"/>
      </left>
      <right/>
      <top style="thin">
        <color rgb="FF000000"/>
      </top>
      <bottom style="thin">
        <color theme="4" tint="0.39997558519241921"/>
      </bottom>
      <diagonal/>
    </border>
    <border>
      <left style="thin">
        <color rgb="FF000000"/>
      </left>
      <right/>
      <top style="thin">
        <color theme="4" tint="0.39997558519241921"/>
      </top>
      <bottom style="thin">
        <color theme="4" tint="0.39997558519241921"/>
      </bottom>
      <diagonal/>
    </border>
  </borders>
  <cellStyleXfs count="1">
    <xf numFmtId="0" fontId="0" fillId="0" borderId="0"/>
  </cellStyleXfs>
  <cellXfs count="146">
    <xf numFmtId="0" fontId="0" fillId="0" borderId="0" xfId="0"/>
    <xf numFmtId="0" fontId="6" fillId="0" borderId="0" xfId="0" applyFont="1"/>
    <xf numFmtId="0" fontId="8" fillId="0" borderId="0" xfId="0" applyFont="1"/>
    <xf numFmtId="14" fontId="8" fillId="0" borderId="0" xfId="0" applyNumberFormat="1" applyFont="1"/>
    <xf numFmtId="164" fontId="8" fillId="0" borderId="0" xfId="0" applyNumberFormat="1" applyFont="1"/>
    <xf numFmtId="164" fontId="0" fillId="0" borderId="0" xfId="0" applyNumberFormat="1"/>
    <xf numFmtId="0" fontId="5" fillId="3" borderId="1" xfId="0" applyFont="1" applyFill="1" applyBorder="1" applyAlignment="1">
      <alignment horizontal="center" wrapText="1"/>
    </xf>
    <xf numFmtId="0" fontId="1" fillId="0" borderId="2" xfId="0" applyFont="1" applyBorder="1" applyAlignment="1">
      <alignment horizontal="center" wrapText="1"/>
    </xf>
    <xf numFmtId="0" fontId="2" fillId="0" borderId="3" xfId="0" applyFont="1" applyBorder="1" applyAlignment="1">
      <alignment horizontal="center" wrapText="1"/>
    </xf>
    <xf numFmtId="0" fontId="2" fillId="0" borderId="4" xfId="0" applyFont="1" applyBorder="1" applyAlignment="1">
      <alignment horizontal="center" wrapText="1"/>
    </xf>
    <xf numFmtId="0" fontId="6" fillId="5" borderId="5" xfId="0" applyFont="1" applyFill="1" applyBorder="1" applyAlignment="1">
      <alignment horizontal="center"/>
    </xf>
    <xf numFmtId="0" fontId="6" fillId="0" borderId="5" xfId="0" applyFont="1" applyBorder="1" applyAlignment="1">
      <alignment horizontal="center"/>
    </xf>
    <xf numFmtId="0" fontId="10" fillId="0" borderId="5" xfId="0" applyFont="1" applyBorder="1" applyAlignment="1">
      <alignment horizontal="center"/>
    </xf>
    <xf numFmtId="0" fontId="10" fillId="0" borderId="0" xfId="0" applyFont="1" applyAlignment="1">
      <alignment horizontal="center"/>
    </xf>
    <xf numFmtId="0" fontId="0" fillId="0" borderId="0" xfId="0" applyAlignment="1">
      <alignment horizontal="center"/>
    </xf>
    <xf numFmtId="0" fontId="0" fillId="0" borderId="6" xfId="0" applyBorder="1"/>
    <xf numFmtId="0" fontId="0" fillId="0" borderId="7" xfId="0" applyBorder="1"/>
    <xf numFmtId="0" fontId="0" fillId="6" borderId="7" xfId="0" applyFill="1" applyBorder="1"/>
    <xf numFmtId="0" fontId="12" fillId="8" borderId="0" xfId="0" applyFont="1" applyFill="1"/>
    <xf numFmtId="0" fontId="15" fillId="4" borderId="10" xfId="0" applyFont="1" applyFill="1" applyBorder="1" applyAlignment="1">
      <alignment horizontal="center" vertical="center" wrapText="1"/>
    </xf>
    <xf numFmtId="164" fontId="15" fillId="4" borderId="10" xfId="0" applyNumberFormat="1" applyFont="1" applyFill="1" applyBorder="1" applyAlignment="1">
      <alignment horizontal="center" vertical="center" wrapText="1"/>
    </xf>
    <xf numFmtId="14" fontId="15" fillId="4" borderId="10" xfId="0" applyNumberFormat="1" applyFont="1" applyFill="1" applyBorder="1" applyAlignment="1">
      <alignment horizontal="center" vertical="center" wrapText="1"/>
    </xf>
    <xf numFmtId="0" fontId="15" fillId="4"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164" fontId="7" fillId="9" borderId="10" xfId="0" applyNumberFormat="1" applyFont="1" applyFill="1" applyBorder="1" applyAlignment="1">
      <alignment horizontal="center" vertical="center" wrapText="1"/>
    </xf>
    <xf numFmtId="14" fontId="7" fillId="9" borderId="10" xfId="0" applyNumberFormat="1" applyFont="1" applyFill="1" applyBorder="1" applyAlignment="1">
      <alignment horizontal="center" vertical="center" wrapText="1"/>
    </xf>
    <xf numFmtId="0" fontId="7" fillId="0" borderId="10" xfId="0" applyFont="1" applyBorder="1" applyAlignment="1">
      <alignment horizontal="center" vertical="center" wrapText="1"/>
    </xf>
    <xf numFmtId="164" fontId="7" fillId="0" borderId="10" xfId="0" applyNumberFormat="1" applyFont="1" applyBorder="1" applyAlignment="1">
      <alignment horizontal="center" vertical="center" wrapText="1"/>
    </xf>
    <xf numFmtId="14" fontId="7" fillId="0" borderId="10" xfId="0" applyNumberFormat="1" applyFont="1" applyBorder="1" applyAlignment="1">
      <alignment horizontal="center" vertical="center" wrapText="1"/>
    </xf>
    <xf numFmtId="0" fontId="7" fillId="0" borderId="12" xfId="0" applyFont="1" applyBorder="1" applyAlignment="1">
      <alignment horizontal="center" vertical="center" wrapText="1"/>
    </xf>
    <xf numFmtId="0" fontId="6" fillId="0" borderId="13" xfId="0" applyFont="1" applyBorder="1"/>
    <xf numFmtId="0" fontId="7" fillId="7" borderId="10" xfId="0" applyFont="1" applyFill="1" applyBorder="1" applyAlignment="1">
      <alignment horizontal="center" vertical="center" wrapText="1"/>
    </xf>
    <xf numFmtId="164" fontId="7" fillId="7" borderId="10" xfId="0" applyNumberFormat="1" applyFont="1" applyFill="1" applyBorder="1" applyAlignment="1">
      <alignment horizontal="center" vertical="center" wrapText="1"/>
    </xf>
    <xf numFmtId="14" fontId="7" fillId="7" borderId="10" xfId="0" applyNumberFormat="1" applyFont="1" applyFill="1" applyBorder="1" applyAlignment="1">
      <alignment horizontal="center" vertical="center" wrapText="1"/>
    </xf>
    <xf numFmtId="0" fontId="8" fillId="7" borderId="16" xfId="0" applyFont="1" applyFill="1" applyBorder="1"/>
    <xf numFmtId="164" fontId="8" fillId="7" borderId="17" xfId="0" applyNumberFormat="1" applyFont="1" applyFill="1" applyBorder="1"/>
    <xf numFmtId="0" fontId="8" fillId="0" borderId="14" xfId="0" applyFont="1" applyBorder="1"/>
    <xf numFmtId="164" fontId="8" fillId="0" borderId="19" xfId="0" applyNumberFormat="1" applyFont="1" applyBorder="1"/>
    <xf numFmtId="0" fontId="8" fillId="7" borderId="14" xfId="0" applyFont="1" applyFill="1" applyBorder="1"/>
    <xf numFmtId="164" fontId="8" fillId="7" borderId="19" xfId="0" applyNumberFormat="1" applyFont="1" applyFill="1" applyBorder="1"/>
    <xf numFmtId="0" fontId="7" fillId="0" borderId="20" xfId="0" applyFont="1" applyBorder="1" applyAlignment="1">
      <alignment horizontal="center" vertical="center" wrapText="1"/>
    </xf>
    <xf numFmtId="164" fontId="7" fillId="0" borderId="20" xfId="0" applyNumberFormat="1" applyFont="1" applyBorder="1" applyAlignment="1">
      <alignment horizontal="center" vertical="center" wrapText="1"/>
    </xf>
    <xf numFmtId="14" fontId="7" fillId="0" borderId="20" xfId="0" applyNumberFormat="1" applyFont="1" applyBorder="1" applyAlignment="1">
      <alignment horizontal="center" vertical="center" wrapText="1"/>
    </xf>
    <xf numFmtId="0" fontId="8" fillId="0" borderId="21" xfId="0" applyFont="1" applyBorder="1"/>
    <xf numFmtId="164" fontId="8" fillId="0" borderId="22" xfId="0" applyNumberFormat="1" applyFont="1" applyBorder="1"/>
    <xf numFmtId="0" fontId="0" fillId="6" borderId="24" xfId="0" applyFill="1" applyBorder="1"/>
    <xf numFmtId="0" fontId="0" fillId="0" borderId="24" xfId="0" applyBorder="1"/>
    <xf numFmtId="0" fontId="6" fillId="6" borderId="6" xfId="0" applyFont="1" applyFill="1" applyBorder="1"/>
    <xf numFmtId="0" fontId="6" fillId="6" borderId="7" xfId="0" applyFont="1" applyFill="1" applyBorder="1"/>
    <xf numFmtId="0" fontId="1" fillId="11" borderId="10" xfId="0" applyFont="1" applyFill="1" applyBorder="1" applyAlignment="1">
      <alignment horizontal="center" vertical="center" wrapText="1"/>
    </xf>
    <xf numFmtId="164" fontId="1" fillId="11" borderId="10" xfId="0" applyNumberFormat="1" applyFont="1" applyFill="1" applyBorder="1" applyAlignment="1">
      <alignment horizontal="center" vertical="center" wrapText="1"/>
    </xf>
    <xf numFmtId="14" fontId="1" fillId="11" borderId="10" xfId="0" applyNumberFormat="1" applyFont="1" applyFill="1" applyBorder="1" applyAlignment="1">
      <alignment horizontal="center" vertical="center" wrapText="1"/>
    </xf>
    <xf numFmtId="0" fontId="7" fillId="11" borderId="14" xfId="0" applyFont="1" applyFill="1" applyBorder="1" applyAlignment="1">
      <alignment horizontal="center" vertical="center" wrapText="1"/>
    </xf>
    <xf numFmtId="0" fontId="6" fillId="11" borderId="14" xfId="0" applyFont="1" applyFill="1" applyBorder="1"/>
    <xf numFmtId="0" fontId="6" fillId="11" borderId="15" xfId="0" applyFont="1" applyFill="1" applyBorder="1"/>
    <xf numFmtId="0" fontId="6" fillId="9" borderId="11" xfId="0" applyFont="1" applyFill="1" applyBorder="1"/>
    <xf numFmtId="0" fontId="6" fillId="9" borderId="11" xfId="0" applyFont="1" applyFill="1" applyBorder="1" applyAlignment="1">
      <alignment horizontal="left" vertical="top"/>
    </xf>
    <xf numFmtId="0" fontId="17" fillId="12" borderId="0" xfId="0" applyFont="1" applyFill="1"/>
    <xf numFmtId="0" fontId="18" fillId="0" borderId="0" xfId="0" applyFont="1"/>
    <xf numFmtId="0" fontId="0" fillId="11" borderId="0" xfId="0" applyFill="1"/>
    <xf numFmtId="0" fontId="6" fillId="6" borderId="23" xfId="0" applyFont="1" applyFill="1" applyBorder="1"/>
    <xf numFmtId="0" fontId="6" fillId="10" borderId="25" xfId="0" applyFont="1" applyFill="1" applyBorder="1"/>
    <xf numFmtId="0" fontId="20" fillId="12" borderId="0" xfId="0" applyFont="1" applyFill="1"/>
    <xf numFmtId="0" fontId="21" fillId="13" borderId="0" xfId="0" applyFont="1" applyFill="1"/>
    <xf numFmtId="0" fontId="0" fillId="12" borderId="0" xfId="0" applyFill="1"/>
    <xf numFmtId="0" fontId="19" fillId="12" borderId="0" xfId="0" applyFont="1" applyFill="1"/>
    <xf numFmtId="0" fontId="6" fillId="14" borderId="0" xfId="0" applyFont="1" applyFill="1"/>
    <xf numFmtId="0" fontId="6" fillId="12" borderId="0" xfId="0" applyFont="1" applyFill="1"/>
    <xf numFmtId="0" fontId="6" fillId="10" borderId="0" xfId="0" applyFont="1" applyFill="1"/>
    <xf numFmtId="0" fontId="6" fillId="14" borderId="0" xfId="0" quotePrefix="1" applyFont="1" applyFill="1"/>
    <xf numFmtId="0" fontId="0" fillId="0" borderId="0" xfId="0" applyAlignment="1">
      <alignment vertical="center"/>
    </xf>
    <xf numFmtId="0" fontId="11" fillId="12" borderId="0" xfId="0" applyFont="1" applyFill="1"/>
    <xf numFmtId="0" fontId="19" fillId="15" borderId="23" xfId="0" applyFont="1" applyFill="1" applyBorder="1"/>
    <xf numFmtId="0" fontId="11" fillId="16" borderId="23" xfId="0" applyFont="1" applyFill="1" applyBorder="1"/>
    <xf numFmtId="0" fontId="19" fillId="14" borderId="23" xfId="0" applyFont="1" applyFill="1" applyBorder="1"/>
    <xf numFmtId="0" fontId="6" fillId="17" borderId="0" xfId="0" applyFont="1" applyFill="1"/>
    <xf numFmtId="0" fontId="7" fillId="0" borderId="28" xfId="0" applyFont="1" applyBorder="1" applyAlignment="1">
      <alignment horizontal="center" vertical="center" wrapText="1"/>
    </xf>
    <xf numFmtId="0" fontId="25" fillId="0" borderId="29" xfId="0" applyFont="1" applyBorder="1"/>
    <xf numFmtId="0" fontId="7" fillId="0" borderId="30" xfId="0" applyFont="1" applyBorder="1" applyAlignment="1">
      <alignment horizontal="center" vertical="center" wrapText="1"/>
    </xf>
    <xf numFmtId="0" fontId="7" fillId="0" borderId="27" xfId="0" applyFont="1" applyBorder="1" applyAlignment="1">
      <alignment horizontal="center" vertical="center" wrapText="1"/>
    </xf>
    <xf numFmtId="0" fontId="25" fillId="0" borderId="27" xfId="0" applyFont="1" applyBorder="1"/>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7" fillId="0" borderId="33" xfId="0" applyFont="1" applyBorder="1" applyAlignment="1">
      <alignment horizontal="center" vertical="center" wrapText="1"/>
    </xf>
    <xf numFmtId="14" fontId="7" fillId="0" borderId="30" xfId="0" applyNumberFormat="1" applyFont="1" applyBorder="1" applyAlignment="1">
      <alignment horizontal="center" vertical="center" wrapText="1"/>
    </xf>
    <xf numFmtId="0" fontId="5" fillId="2" borderId="27" xfId="0" applyFont="1" applyFill="1" applyBorder="1" applyAlignment="1">
      <alignment horizontal="center" vertical="center" wrapText="1"/>
    </xf>
    <xf numFmtId="14" fontId="5" fillId="2" borderId="27" xfId="0" applyNumberFormat="1" applyFont="1" applyFill="1" applyBorder="1" applyAlignment="1">
      <alignment horizontal="center" vertical="center" wrapText="1"/>
    </xf>
    <xf numFmtId="0" fontId="7" fillId="6" borderId="27" xfId="0" applyFont="1" applyFill="1" applyBorder="1" applyAlignment="1">
      <alignment horizontal="center" vertical="center" wrapText="1"/>
    </xf>
    <xf numFmtId="14" fontId="7" fillId="6" borderId="27" xfId="0" applyNumberFormat="1" applyFont="1" applyFill="1" applyBorder="1" applyAlignment="1">
      <alignment horizontal="center" vertical="center" wrapText="1"/>
    </xf>
    <xf numFmtId="14" fontId="7" fillId="0" borderId="27" xfId="0" applyNumberFormat="1" applyFont="1" applyBorder="1" applyAlignment="1">
      <alignment horizontal="center" vertical="center" wrapText="1"/>
    </xf>
    <xf numFmtId="0" fontId="23" fillId="5" borderId="34" xfId="0" applyFont="1" applyFill="1" applyBorder="1" applyAlignment="1">
      <alignment horizontal="left" vertical="center" indent="4"/>
    </xf>
    <xf numFmtId="0" fontId="23" fillId="5" borderId="35" xfId="0" applyFont="1" applyFill="1" applyBorder="1" applyAlignment="1">
      <alignment horizontal="left" vertical="center" indent="4"/>
    </xf>
    <xf numFmtId="0" fontId="23" fillId="5" borderId="36" xfId="0" applyFont="1" applyFill="1" applyBorder="1" applyAlignment="1">
      <alignment horizontal="left" vertical="center" indent="4"/>
    </xf>
    <xf numFmtId="0" fontId="22" fillId="6" borderId="34" xfId="0" applyFont="1" applyFill="1" applyBorder="1" applyAlignment="1">
      <alignment horizontal="left" vertical="center" indent="4"/>
    </xf>
    <xf numFmtId="14" fontId="22" fillId="6" borderId="34" xfId="0" applyNumberFormat="1" applyFont="1" applyFill="1" applyBorder="1" applyAlignment="1">
      <alignment horizontal="left" vertical="center" indent="4"/>
    </xf>
    <xf numFmtId="14" fontId="0" fillId="6" borderId="35" xfId="0" applyNumberFormat="1" applyFill="1" applyBorder="1" applyAlignment="1">
      <alignment horizontal="left" indent="4"/>
    </xf>
    <xf numFmtId="14" fontId="0" fillId="6" borderId="23" xfId="0" applyNumberFormat="1" applyFill="1" applyBorder="1" applyAlignment="1">
      <alignment horizontal="left" indent="4"/>
    </xf>
    <xf numFmtId="0" fontId="22" fillId="0" borderId="34" xfId="0" applyFont="1" applyBorder="1" applyAlignment="1">
      <alignment horizontal="left" vertical="center" indent="4"/>
    </xf>
    <xf numFmtId="14" fontId="22" fillId="0" borderId="34" xfId="0" applyNumberFormat="1" applyFont="1" applyBorder="1" applyAlignment="1">
      <alignment horizontal="left" vertical="center" indent="4"/>
    </xf>
    <xf numFmtId="14" fontId="0" fillId="0" borderId="35" xfId="0" applyNumberFormat="1" applyBorder="1" applyAlignment="1">
      <alignment horizontal="left" indent="4"/>
    </xf>
    <xf numFmtId="14" fontId="0" fillId="0" borderId="23" xfId="0" applyNumberFormat="1" applyBorder="1" applyAlignment="1">
      <alignment horizontal="left" indent="4"/>
    </xf>
    <xf numFmtId="0" fontId="22" fillId="6" borderId="37" xfId="0" applyFont="1" applyFill="1" applyBorder="1" applyAlignment="1">
      <alignment horizontal="left" vertical="center" indent="4"/>
    </xf>
    <xf numFmtId="14" fontId="0" fillId="6" borderId="37" xfId="0" applyNumberFormat="1" applyFill="1" applyBorder="1" applyAlignment="1">
      <alignment horizontal="left" indent="4"/>
    </xf>
    <xf numFmtId="14" fontId="0" fillId="6" borderId="38" xfId="0" applyNumberFormat="1" applyFill="1" applyBorder="1" applyAlignment="1">
      <alignment horizontal="left" indent="4"/>
    </xf>
    <xf numFmtId="14" fontId="0" fillId="6" borderId="6" xfId="0" applyNumberFormat="1" applyFill="1" applyBorder="1" applyAlignment="1">
      <alignment horizontal="left" indent="4"/>
    </xf>
    <xf numFmtId="0" fontId="0" fillId="7" borderId="17" xfId="0" applyFill="1" applyBorder="1"/>
    <xf numFmtId="0" fontId="0" fillId="7" borderId="18" xfId="0" applyFill="1" applyBorder="1"/>
    <xf numFmtId="0" fontId="0" fillId="0" borderId="19" xfId="0" applyBorder="1"/>
    <xf numFmtId="0" fontId="0" fillId="0" borderId="15" xfId="0" applyBorder="1"/>
    <xf numFmtId="0" fontId="0" fillId="7" borderId="19" xfId="0" applyFill="1" applyBorder="1"/>
    <xf numFmtId="0" fontId="0" fillId="7" borderId="15" xfId="0" applyFill="1" applyBorder="1"/>
    <xf numFmtId="0" fontId="0" fillId="0" borderId="22" xfId="0" applyBorder="1"/>
    <xf numFmtId="0" fontId="0" fillId="0" borderId="9" xfId="0" applyBorder="1"/>
    <xf numFmtId="0" fontId="6" fillId="11" borderId="0" xfId="0" applyFont="1" applyFill="1"/>
    <xf numFmtId="0" fontId="11" fillId="16" borderId="24" xfId="0" applyFont="1" applyFill="1" applyBorder="1"/>
    <xf numFmtId="1" fontId="11" fillId="16" borderId="24" xfId="0" applyNumberFormat="1" applyFont="1" applyFill="1" applyBorder="1"/>
    <xf numFmtId="0" fontId="13" fillId="16" borderId="23" xfId="0" applyFont="1" applyFill="1" applyBorder="1"/>
    <xf numFmtId="0" fontId="6" fillId="18" borderId="26" xfId="0" applyFont="1" applyFill="1" applyBorder="1"/>
    <xf numFmtId="0" fontId="6" fillId="18" borderId="23" xfId="0" applyFont="1" applyFill="1" applyBorder="1"/>
    <xf numFmtId="0" fontId="19" fillId="18" borderId="26" xfId="0" applyFont="1" applyFill="1" applyBorder="1"/>
    <xf numFmtId="0" fontId="19" fillId="18" borderId="24" xfId="0" applyFont="1" applyFill="1" applyBorder="1"/>
    <xf numFmtId="0" fontId="0" fillId="19" borderId="23" xfId="0" applyFill="1" applyBorder="1"/>
    <xf numFmtId="0" fontId="0" fillId="14" borderId="23" xfId="0" applyFill="1" applyBorder="1"/>
    <xf numFmtId="0" fontId="0" fillId="14" borderId="6" xfId="0" applyFill="1" applyBorder="1"/>
    <xf numFmtId="0" fontId="8" fillId="19" borderId="23" xfId="0" applyFont="1" applyFill="1" applyBorder="1"/>
    <xf numFmtId="0" fontId="8" fillId="14" borderId="23" xfId="0" applyFont="1" applyFill="1" applyBorder="1"/>
    <xf numFmtId="0" fontId="8" fillId="14" borderId="6" xfId="0" applyFont="1" applyFill="1" applyBorder="1"/>
    <xf numFmtId="0" fontId="0" fillId="20" borderId="24" xfId="0" applyFill="1" applyBorder="1"/>
    <xf numFmtId="0" fontId="0" fillId="21" borderId="24" xfId="0" applyFill="1" applyBorder="1"/>
    <xf numFmtId="0" fontId="0" fillId="21" borderId="7" xfId="0" applyFill="1" applyBorder="1"/>
    <xf numFmtId="0" fontId="19" fillId="21" borderId="0" xfId="0" applyFont="1" applyFill="1"/>
    <xf numFmtId="0" fontId="6" fillId="21" borderId="0" xfId="0" applyFont="1" applyFill="1"/>
    <xf numFmtId="0" fontId="0" fillId="21" borderId="0" xfId="0" applyFill="1"/>
    <xf numFmtId="0" fontId="24" fillId="21" borderId="0" xfId="0" applyFont="1" applyFill="1"/>
    <xf numFmtId="0" fontId="1" fillId="2" borderId="1" xfId="0" applyFont="1" applyFill="1" applyBorder="1" applyAlignment="1">
      <alignment horizontal="center" vertical="center" wrapText="1"/>
    </xf>
    <xf numFmtId="0" fontId="1"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 fillId="2" borderId="2" xfId="0" applyFont="1" applyFill="1" applyBorder="1" applyAlignment="1">
      <alignment horizontal="center" vertical="center" wrapText="1"/>
    </xf>
    <xf numFmtId="0" fontId="2" fillId="0" borderId="2" xfId="0" applyFont="1" applyBorder="1" applyAlignment="1">
      <alignment vertical="center" wrapText="1"/>
    </xf>
    <xf numFmtId="0" fontId="16" fillId="18" borderId="26" xfId="0" applyFont="1" applyFill="1" applyBorder="1"/>
    <xf numFmtId="0" fontId="0" fillId="17" borderId="6" xfId="0" applyFill="1" applyBorder="1"/>
    <xf numFmtId="0" fontId="0" fillId="17" borderId="25" xfId="0" applyFill="1" applyBorder="1"/>
    <xf numFmtId="0" fontId="15" fillId="21" borderId="8" xfId="0" applyFont="1" applyFill="1" applyBorder="1" applyAlignment="1">
      <alignment horizontal="center" vertical="center" wrapText="1"/>
    </xf>
    <xf numFmtId="0" fontId="6" fillId="22" borderId="0" xfId="0" applyFont="1" applyFill="1"/>
    <xf numFmtId="0" fontId="19" fillId="22" borderId="0" xfId="0" applyFont="1" applyFill="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4304-C2D0-43CA-A9A1-1FD8FCFD364A}">
  <dimension ref="A1:C69"/>
  <sheetViews>
    <sheetView topLeftCell="B1" workbookViewId="0">
      <selection activeCell="C1" sqref="C1"/>
    </sheetView>
  </sheetViews>
  <sheetFormatPr defaultRowHeight="14.5" x14ac:dyDescent="0.35"/>
  <cols>
    <col min="1" max="1" width="57.26953125" style="14" hidden="1" customWidth="1"/>
    <col min="2" max="2" width="8.984375E-2" customWidth="1"/>
    <col min="3" max="3" width="63.54296875" customWidth="1"/>
  </cols>
  <sheetData>
    <row r="1" spans="1:3" ht="19" customHeight="1" thickBot="1" x14ac:dyDescent="0.4">
      <c r="A1" s="6"/>
      <c r="C1" s="134" t="s">
        <v>183</v>
      </c>
    </row>
    <row r="2" spans="1:3" ht="345" customHeight="1" thickBot="1" x14ac:dyDescent="0.4">
      <c r="A2" s="7"/>
      <c r="C2" s="135" t="s">
        <v>0</v>
      </c>
    </row>
    <row r="3" spans="1:3" ht="15" thickBot="1" x14ac:dyDescent="0.4">
      <c r="A3"/>
      <c r="C3" s="136"/>
    </row>
    <row r="4" spans="1:3" ht="15" thickBot="1" x14ac:dyDescent="0.4">
      <c r="A4" s="9"/>
      <c r="C4" s="137"/>
    </row>
    <row r="5" spans="1:3" ht="23.5" customHeight="1" thickBot="1" x14ac:dyDescent="0.4">
      <c r="A5" s="10"/>
      <c r="C5" s="138" t="s">
        <v>1</v>
      </c>
    </row>
    <row r="6" spans="1:3" ht="40.5" customHeight="1" thickBot="1" x14ac:dyDescent="0.4">
      <c r="A6" s="11"/>
      <c r="C6" s="135" t="s">
        <v>2</v>
      </c>
    </row>
    <row r="7" spans="1:3" ht="13.5" customHeight="1" thickBot="1" x14ac:dyDescent="0.4">
      <c r="A7" s="12"/>
      <c r="C7" s="139" t="s">
        <v>3</v>
      </c>
    </row>
    <row r="8" spans="1:3" ht="14.5" hidden="1" customHeight="1" thickBot="1" x14ac:dyDescent="0.4">
      <c r="A8" s="12" t="s">
        <v>4</v>
      </c>
      <c r="C8" s="139" t="s">
        <v>4</v>
      </c>
    </row>
    <row r="9" spans="1:3" ht="15" hidden="1" thickBot="1" x14ac:dyDescent="0.4">
      <c r="A9" s="12"/>
      <c r="C9" s="139"/>
    </row>
    <row r="10" spans="1:3" ht="20.5" hidden="1" customHeight="1" thickBot="1" x14ac:dyDescent="0.4">
      <c r="A10" s="11" t="s">
        <v>5</v>
      </c>
      <c r="C10" s="135" t="s">
        <v>5</v>
      </c>
    </row>
    <row r="11" spans="1:3" ht="87.5" hidden="1" thickBot="1" x14ac:dyDescent="0.4">
      <c r="A11" s="12" t="s">
        <v>6</v>
      </c>
      <c r="C11" s="139" t="s">
        <v>6</v>
      </c>
    </row>
    <row r="12" spans="1:3" ht="15" thickBot="1" x14ac:dyDescent="0.4">
      <c r="A12" s="12"/>
      <c r="C12" s="139" t="s">
        <v>7</v>
      </c>
    </row>
    <row r="13" spans="1:3" ht="15" thickBot="1" x14ac:dyDescent="0.4">
      <c r="A13" s="12"/>
      <c r="C13" s="139"/>
    </row>
    <row r="14" spans="1:3" ht="28.5" customHeight="1" thickBot="1" x14ac:dyDescent="0.4">
      <c r="A14" s="11"/>
      <c r="C14" s="135" t="s">
        <v>8</v>
      </c>
    </row>
    <row r="15" spans="1:3" ht="31" customHeight="1" thickBot="1" x14ac:dyDescent="0.4">
      <c r="A15" s="12"/>
      <c r="C15" s="139" t="s">
        <v>9</v>
      </c>
    </row>
    <row r="16" spans="1:3" ht="20.5" customHeight="1" thickBot="1" x14ac:dyDescent="0.4">
      <c r="A16" s="12"/>
      <c r="C16" s="139" t="s">
        <v>10</v>
      </c>
    </row>
    <row r="17" spans="1:3" ht="15" thickBot="1" x14ac:dyDescent="0.4">
      <c r="A17" s="12"/>
      <c r="C17" s="139"/>
    </row>
    <row r="18" spans="1:3" ht="20.5" customHeight="1" thickBot="1" x14ac:dyDescent="0.4">
      <c r="A18" s="11"/>
      <c r="C18" s="135" t="s">
        <v>11</v>
      </c>
    </row>
    <row r="19" spans="1:3" ht="19.5" customHeight="1" thickBot="1" x14ac:dyDescent="0.4">
      <c r="A19" s="12"/>
      <c r="C19" s="139" t="s">
        <v>12</v>
      </c>
    </row>
    <row r="20" spans="1:3" ht="25" customHeight="1" thickBot="1" x14ac:dyDescent="0.4">
      <c r="A20" s="12"/>
      <c r="C20" s="139" t="s">
        <v>13</v>
      </c>
    </row>
    <row r="21" spans="1:3" ht="20.5" customHeight="1" thickBot="1" x14ac:dyDescent="0.4">
      <c r="A21" s="12"/>
      <c r="C21" s="139" t="s">
        <v>14</v>
      </c>
    </row>
    <row r="22" spans="1:3" ht="15" thickBot="1" x14ac:dyDescent="0.4">
      <c r="A22" s="12"/>
      <c r="C22" s="139"/>
    </row>
    <row r="23" spans="1:3" ht="18.5" customHeight="1" thickBot="1" x14ac:dyDescent="0.4">
      <c r="A23" s="11"/>
      <c r="C23" s="135" t="s">
        <v>15</v>
      </c>
    </row>
    <row r="24" spans="1:3" ht="16.5" customHeight="1" thickBot="1" x14ac:dyDescent="0.4">
      <c r="A24" s="12"/>
      <c r="C24" s="139" t="s">
        <v>16</v>
      </c>
    </row>
    <row r="25" spans="1:3" ht="21.5" customHeight="1" thickBot="1" x14ac:dyDescent="0.4">
      <c r="A25" s="12"/>
      <c r="C25" s="139" t="s">
        <v>17</v>
      </c>
    </row>
    <row r="26" spans="1:3" ht="15" thickBot="1" x14ac:dyDescent="0.4">
      <c r="A26" s="12"/>
      <c r="C26" s="139"/>
    </row>
    <row r="27" spans="1:3" ht="21" customHeight="1" thickBot="1" x14ac:dyDescent="0.4">
      <c r="A27" s="11"/>
      <c r="C27" s="135" t="s">
        <v>18</v>
      </c>
    </row>
    <row r="28" spans="1:3" ht="22" customHeight="1" thickBot="1" x14ac:dyDescent="0.4">
      <c r="A28" s="12"/>
      <c r="C28" s="139" t="s">
        <v>19</v>
      </c>
    </row>
    <row r="29" spans="1:3" ht="17" customHeight="1" thickBot="1" x14ac:dyDescent="0.4">
      <c r="A29" s="12"/>
      <c r="C29" s="139" t="s">
        <v>20</v>
      </c>
    </row>
    <row r="30" spans="1:3" ht="16" customHeight="1" thickBot="1" x14ac:dyDescent="0.4">
      <c r="A30" s="12"/>
      <c r="C30" s="139"/>
    </row>
    <row r="31" spans="1:3" ht="19" customHeight="1" thickBot="1" x14ac:dyDescent="0.4">
      <c r="A31" s="11"/>
      <c r="C31" s="135" t="s">
        <v>21</v>
      </c>
    </row>
    <row r="32" spans="1:3" ht="19" customHeight="1" thickBot="1" x14ac:dyDescent="0.4">
      <c r="A32" s="12"/>
      <c r="C32" s="139" t="s">
        <v>22</v>
      </c>
    </row>
    <row r="33" spans="1:3" ht="25" customHeight="1" thickBot="1" x14ac:dyDescent="0.4">
      <c r="A33" s="12"/>
      <c r="C33" s="139" t="s">
        <v>23</v>
      </c>
    </row>
    <row r="34" spans="1:3" ht="18" customHeight="1" thickBot="1" x14ac:dyDescent="0.4">
      <c r="A34" s="12"/>
      <c r="C34" s="139"/>
    </row>
    <row r="35" spans="1:3" ht="25.5" customHeight="1" thickBot="1" x14ac:dyDescent="0.4">
      <c r="A35" s="11"/>
      <c r="C35" s="135" t="s">
        <v>24</v>
      </c>
    </row>
    <row r="36" spans="1:3" ht="13" customHeight="1" thickBot="1" x14ac:dyDescent="0.4">
      <c r="A36" s="12"/>
      <c r="C36" s="139" t="s">
        <v>25</v>
      </c>
    </row>
    <row r="37" spans="1:3" ht="18" customHeight="1" thickBot="1" x14ac:dyDescent="0.4">
      <c r="A37" s="12"/>
      <c r="C37" s="139" t="s">
        <v>26</v>
      </c>
    </row>
    <row r="38" spans="1:3" ht="15" thickBot="1" x14ac:dyDescent="0.4">
      <c r="A38" s="12"/>
      <c r="C38" s="139"/>
    </row>
    <row r="39" spans="1:3" ht="18.5" customHeight="1" thickBot="1" x14ac:dyDescent="0.4">
      <c r="A39" s="11"/>
      <c r="C39" s="135" t="s">
        <v>27</v>
      </c>
    </row>
    <row r="40" spans="1:3" ht="16.5" customHeight="1" thickBot="1" x14ac:dyDescent="0.4">
      <c r="A40" s="12"/>
      <c r="C40" s="139" t="s">
        <v>28</v>
      </c>
    </row>
    <row r="41" spans="1:3" ht="15" thickBot="1" x14ac:dyDescent="0.4">
      <c r="A41" s="12"/>
      <c r="C41" s="139"/>
    </row>
    <row r="42" spans="1:3" ht="15.5" customHeight="1" thickBot="1" x14ac:dyDescent="0.4">
      <c r="A42" s="11"/>
      <c r="C42" s="135" t="s">
        <v>29</v>
      </c>
    </row>
    <row r="43" spans="1:3" ht="16.5" customHeight="1" thickBot="1" x14ac:dyDescent="0.4">
      <c r="A43" s="12"/>
      <c r="C43" s="139" t="s">
        <v>30</v>
      </c>
    </row>
    <row r="44" spans="1:3" ht="15" thickBot="1" x14ac:dyDescent="0.4">
      <c r="A44" s="12"/>
      <c r="C44" s="139"/>
    </row>
    <row r="45" spans="1:3" ht="18.5" customHeight="1" thickBot="1" x14ac:dyDescent="0.4">
      <c r="A45" s="11"/>
      <c r="C45" s="135" t="s">
        <v>31</v>
      </c>
    </row>
    <row r="46" spans="1:3" ht="15" customHeight="1" thickBot="1" x14ac:dyDescent="0.4">
      <c r="A46" s="12"/>
      <c r="C46" s="139" t="s">
        <v>32</v>
      </c>
    </row>
    <row r="47" spans="1:3" ht="15" thickBot="1" x14ac:dyDescent="0.4">
      <c r="A47" s="12"/>
      <c r="C47" s="139"/>
    </row>
    <row r="48" spans="1:3" ht="20" customHeight="1" thickBot="1" x14ac:dyDescent="0.4">
      <c r="A48" s="11"/>
      <c r="C48" s="135" t="s">
        <v>33</v>
      </c>
    </row>
    <row r="49" spans="1:3" ht="17.5" customHeight="1" thickBot="1" x14ac:dyDescent="0.4">
      <c r="A49" s="12"/>
      <c r="C49" s="139" t="s">
        <v>34</v>
      </c>
    </row>
    <row r="50" spans="1:3" ht="20" customHeight="1" thickBot="1" x14ac:dyDescent="0.4">
      <c r="A50" s="12"/>
      <c r="C50" s="139" t="s">
        <v>35</v>
      </c>
    </row>
    <row r="51" spans="1:3" ht="15" thickBot="1" x14ac:dyDescent="0.4">
      <c r="A51" s="12"/>
      <c r="C51" s="139"/>
    </row>
    <row r="52" spans="1:3" ht="16.5" customHeight="1" thickBot="1" x14ac:dyDescent="0.4">
      <c r="A52" s="11"/>
      <c r="C52" s="135" t="s">
        <v>36</v>
      </c>
    </row>
    <row r="53" spans="1:3" ht="25" customHeight="1" thickBot="1" x14ac:dyDescent="0.4">
      <c r="A53" s="12"/>
      <c r="C53" s="139" t="s">
        <v>37</v>
      </c>
    </row>
    <row r="54" spans="1:3" ht="15" thickBot="1" x14ac:dyDescent="0.4">
      <c r="A54" s="12"/>
      <c r="C54" s="139"/>
    </row>
    <row r="55" spans="1:3" ht="17" customHeight="1" thickBot="1" x14ac:dyDescent="0.4">
      <c r="A55" s="11"/>
      <c r="C55" s="135" t="s">
        <v>38</v>
      </c>
    </row>
    <row r="56" spans="1:3" ht="19" customHeight="1" thickBot="1" x14ac:dyDescent="0.4">
      <c r="A56" s="12"/>
      <c r="C56" s="139" t="s">
        <v>39</v>
      </c>
    </row>
    <row r="57" spans="1:3" ht="15" thickBot="1" x14ac:dyDescent="0.4">
      <c r="A57" s="13"/>
    </row>
    <row r="58" spans="1:3" ht="15" thickBot="1" x14ac:dyDescent="0.4">
      <c r="A58" s="8"/>
    </row>
    <row r="59" spans="1:3" ht="15" thickBot="1" x14ac:dyDescent="0.4">
      <c r="A59" s="8"/>
    </row>
    <row r="60" spans="1:3" ht="15" thickBot="1" x14ac:dyDescent="0.4">
      <c r="A60" s="8"/>
    </row>
    <row r="61" spans="1:3" ht="15" thickBot="1" x14ac:dyDescent="0.4">
      <c r="A61" s="8"/>
    </row>
    <row r="62" spans="1:3" ht="15" thickBot="1" x14ac:dyDescent="0.4">
      <c r="A62" s="8"/>
    </row>
    <row r="63" spans="1:3" ht="15" thickBot="1" x14ac:dyDescent="0.4">
      <c r="A63" s="8"/>
    </row>
    <row r="64" spans="1:3" ht="15" thickBot="1" x14ac:dyDescent="0.4">
      <c r="A64" s="8"/>
    </row>
    <row r="65" spans="1:1" ht="15" thickBot="1" x14ac:dyDescent="0.4">
      <c r="A65" s="8"/>
    </row>
    <row r="66" spans="1:1" ht="15" thickBot="1" x14ac:dyDescent="0.4">
      <c r="A66" s="8"/>
    </row>
    <row r="67" spans="1:1" ht="15" thickBot="1" x14ac:dyDescent="0.4">
      <c r="A67" s="8"/>
    </row>
    <row r="68" spans="1:1" ht="15" thickBot="1" x14ac:dyDescent="0.4">
      <c r="A68" s="8"/>
    </row>
    <row r="69" spans="1:1" ht="15" thickBot="1" x14ac:dyDescent="0.4">
      <c r="A69" s="8"/>
    </row>
  </sheetData>
  <conditionalFormatting sqref="C1:C56">
    <cfRule type="colorScale" priority="1">
      <colorScale>
        <cfvo type="min"/>
        <cfvo type="percentile" val="50"/>
        <cfvo type="max"/>
        <color rgb="FF5A8AC6"/>
        <color rgb="FFFCFCFF"/>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4D4E-C06E-46C8-9D63-2B378B51F5B9}">
  <dimension ref="A1:O26"/>
  <sheetViews>
    <sheetView workbookViewId="0">
      <selection activeCell="J17" sqref="J17"/>
    </sheetView>
  </sheetViews>
  <sheetFormatPr defaultRowHeight="14.5" x14ac:dyDescent="0.35"/>
  <cols>
    <col min="1" max="1" width="11.7265625" customWidth="1"/>
    <col min="2" max="2" width="11.08984375" customWidth="1"/>
    <col min="3" max="3" width="7.36328125" customWidth="1"/>
    <col min="4" max="4" width="8.90625" customWidth="1"/>
    <col min="6" max="6" width="18.26953125" customWidth="1"/>
    <col min="7" max="7" width="14.36328125" customWidth="1"/>
  </cols>
  <sheetData>
    <row r="1" spans="1:15" ht="26.5" customHeight="1" x14ac:dyDescent="0.35">
      <c r="A1" s="85" t="s">
        <v>40</v>
      </c>
      <c r="B1" s="85" t="s">
        <v>41</v>
      </c>
      <c r="C1" s="85" t="s">
        <v>42</v>
      </c>
      <c r="D1" s="85" t="s">
        <v>43</v>
      </c>
      <c r="E1" s="85" t="s">
        <v>44</v>
      </c>
      <c r="F1" s="86" t="s">
        <v>45</v>
      </c>
      <c r="G1" s="85" t="s">
        <v>148</v>
      </c>
      <c r="H1" s="85" t="s">
        <v>149</v>
      </c>
    </row>
    <row r="2" spans="1:15" x14ac:dyDescent="0.35">
      <c r="A2" s="87">
        <v>1001</v>
      </c>
      <c r="B2" s="87" t="s">
        <v>46</v>
      </c>
      <c r="C2" s="87">
        <v>61</v>
      </c>
      <c r="D2" s="87">
        <v>48</v>
      </c>
      <c r="E2" s="87">
        <v>76</v>
      </c>
      <c r="F2" s="88">
        <v>43101</v>
      </c>
      <c r="G2" s="87">
        <f>AVERAGE('STUDENTS GRADE'!$C2,'STUDENTS GRADE'!$D2,'STUDENTS GRADE'!$E2)</f>
        <v>61.666666666666664</v>
      </c>
      <c r="H2" s="87" t="str">
        <f>IF(G2&gt;80,"A", IF(G2&gt;70,"B",IF(G2&gt;60,"C",IF(G2&gt;50,"D","FAIL"))))</f>
        <v>C</v>
      </c>
      <c r="K2" s="18" t="s">
        <v>150</v>
      </c>
      <c r="L2" s="18"/>
      <c r="M2" s="18"/>
      <c r="N2" s="18"/>
      <c r="O2" s="18"/>
    </row>
    <row r="3" spans="1:15" x14ac:dyDescent="0.35">
      <c r="A3" s="79">
        <v>1002</v>
      </c>
      <c r="B3" s="79" t="s">
        <v>47</v>
      </c>
      <c r="C3" s="79">
        <v>78</v>
      </c>
      <c r="D3" s="79">
        <v>76</v>
      </c>
      <c r="E3" s="79">
        <v>70</v>
      </c>
      <c r="F3" s="89">
        <v>43281</v>
      </c>
      <c r="G3" s="79">
        <f>AVERAGE('STUDENTS GRADE'!$C3,'STUDENTS GRADE'!$D3,'STUDENTS GRADE'!$E3)</f>
        <v>74.666666666666671</v>
      </c>
      <c r="H3" s="79" t="str">
        <f t="shared" ref="H3:H21" si="0">IF(G3&gt;80,"A", IF(G3&gt;70,"B",IF(G3&gt;60,"C",IF(G3&gt;50,"D","FAIL"))))</f>
        <v>B</v>
      </c>
      <c r="K3" s="18">
        <f>COUNTIFS(C2:C21,"&gt;60")</f>
        <v>19</v>
      </c>
      <c r="L3" s="18"/>
      <c r="M3" s="18"/>
      <c r="N3" s="18"/>
      <c r="O3" s="18"/>
    </row>
    <row r="4" spans="1:15" x14ac:dyDescent="0.35">
      <c r="A4" s="87">
        <v>1003</v>
      </c>
      <c r="B4" s="87" t="s">
        <v>48</v>
      </c>
      <c r="C4" s="87">
        <v>97</v>
      </c>
      <c r="D4" s="87">
        <v>60</v>
      </c>
      <c r="E4" s="87">
        <v>51</v>
      </c>
      <c r="F4" s="88">
        <v>43461</v>
      </c>
      <c r="G4" s="87">
        <f>AVERAGE('STUDENTS GRADE'!$C4,'STUDENTS GRADE'!$D4,'STUDENTS GRADE'!$E4)</f>
        <v>69.333333333333329</v>
      </c>
      <c r="H4" s="87" t="str">
        <f>IF(G4&gt;80,"A", IF(G4&gt;70,"B",IF(G4&gt;60,"C",IF(G4&gt;50,"D","FAIL"))))</f>
        <v>C</v>
      </c>
    </row>
    <row r="5" spans="1:15" x14ac:dyDescent="0.35">
      <c r="A5" s="79">
        <v>1004</v>
      </c>
      <c r="B5" s="79" t="s">
        <v>49</v>
      </c>
      <c r="C5" s="79">
        <v>74</v>
      </c>
      <c r="D5" s="79">
        <v>55</v>
      </c>
      <c r="E5" s="79">
        <v>46</v>
      </c>
      <c r="F5" s="89">
        <v>43641</v>
      </c>
      <c r="G5" s="79">
        <f>AVERAGE('STUDENTS GRADE'!$C5,'STUDENTS GRADE'!$D5,'STUDENTS GRADE'!$E5)</f>
        <v>58.333333333333336</v>
      </c>
      <c r="H5" s="79" t="str">
        <f t="shared" si="0"/>
        <v>D</v>
      </c>
    </row>
    <row r="6" spans="1:15" x14ac:dyDescent="0.35">
      <c r="A6" s="87">
        <v>1005</v>
      </c>
      <c r="B6" s="87" t="s">
        <v>50</v>
      </c>
      <c r="C6" s="87">
        <v>68</v>
      </c>
      <c r="D6" s="87">
        <v>74</v>
      </c>
      <c r="E6" s="87">
        <v>84</v>
      </c>
      <c r="F6" s="88">
        <v>43821</v>
      </c>
      <c r="G6" s="87">
        <f>AVERAGE('STUDENTS GRADE'!$C6,'STUDENTS GRADE'!$D6,'STUDENTS GRADE'!$E6)</f>
        <v>75.333333333333329</v>
      </c>
      <c r="H6" s="87" t="str">
        <f t="shared" si="0"/>
        <v>B</v>
      </c>
      <c r="K6" s="18" t="s">
        <v>151</v>
      </c>
      <c r="L6" s="18"/>
      <c r="M6" s="18"/>
      <c r="N6" s="18" t="s">
        <v>154</v>
      </c>
      <c r="O6" s="18" t="s">
        <v>153</v>
      </c>
    </row>
    <row r="7" spans="1:15" x14ac:dyDescent="0.35">
      <c r="A7" s="79">
        <v>1006</v>
      </c>
      <c r="B7" s="79" t="s">
        <v>51</v>
      </c>
      <c r="C7" s="79">
        <v>80</v>
      </c>
      <c r="D7" s="79">
        <v>70</v>
      </c>
      <c r="E7" s="79">
        <v>65</v>
      </c>
      <c r="F7" s="89">
        <v>44001</v>
      </c>
      <c r="G7" s="79">
        <f>AVERAGE('STUDENTS GRADE'!$C7,'STUDENTS GRADE'!$D7,'STUDENTS GRADE'!$E7)</f>
        <v>71.666666666666671</v>
      </c>
      <c r="H7" s="79" t="str">
        <f t="shared" si="0"/>
        <v>B</v>
      </c>
      <c r="K7" s="18">
        <f>COUNTIFS(D2:D21,"&gt;60")</f>
        <v>11</v>
      </c>
      <c r="L7" s="18"/>
      <c r="M7" s="18"/>
      <c r="N7" s="18"/>
      <c r="O7" s="18"/>
    </row>
    <row r="8" spans="1:15" x14ac:dyDescent="0.35">
      <c r="A8" s="87">
        <v>1007</v>
      </c>
      <c r="B8" s="87" t="s">
        <v>52</v>
      </c>
      <c r="C8" s="87">
        <v>75</v>
      </c>
      <c r="D8" s="87">
        <v>47</v>
      </c>
      <c r="E8" s="87">
        <v>78</v>
      </c>
      <c r="F8" s="88">
        <v>44181</v>
      </c>
      <c r="G8" s="87">
        <f>AVERAGE('STUDENTS GRADE'!$C8,'STUDENTS GRADE'!$D8,'STUDENTS GRADE'!$E8)</f>
        <v>66.666666666666671</v>
      </c>
      <c r="H8" s="87" t="str">
        <f t="shared" si="0"/>
        <v>C</v>
      </c>
    </row>
    <row r="9" spans="1:15" x14ac:dyDescent="0.35">
      <c r="A9" s="79">
        <v>1008</v>
      </c>
      <c r="B9" s="79" t="s">
        <v>53</v>
      </c>
      <c r="C9" s="79">
        <v>94</v>
      </c>
      <c r="D9" s="79">
        <v>67</v>
      </c>
      <c r="E9" s="79">
        <v>64</v>
      </c>
      <c r="F9" s="89">
        <v>44361</v>
      </c>
      <c r="G9" s="79">
        <f>AVERAGE('STUDENTS GRADE'!$C9,'STUDENTS GRADE'!$D9,'STUDENTS GRADE'!$E9)</f>
        <v>75</v>
      </c>
      <c r="H9" s="79" t="str">
        <f t="shared" si="0"/>
        <v>B</v>
      </c>
      <c r="K9" s="18" t="s">
        <v>152</v>
      </c>
      <c r="L9" s="18"/>
      <c r="M9" s="18"/>
      <c r="N9" s="18"/>
      <c r="O9" s="18"/>
    </row>
    <row r="10" spans="1:15" x14ac:dyDescent="0.35">
      <c r="A10" s="87">
        <v>1009</v>
      </c>
      <c r="B10" s="87" t="s">
        <v>54</v>
      </c>
      <c r="C10" s="87">
        <v>41</v>
      </c>
      <c r="D10" s="87">
        <v>75</v>
      </c>
      <c r="E10" s="87">
        <v>56</v>
      </c>
      <c r="F10" s="88">
        <v>44541</v>
      </c>
      <c r="G10" s="87">
        <f>AVERAGE('STUDENTS GRADE'!$C10,'STUDENTS GRADE'!$D10,'STUDENTS GRADE'!$E10)</f>
        <v>57.333333333333336</v>
      </c>
      <c r="H10" s="87" t="str">
        <f t="shared" si="0"/>
        <v>D</v>
      </c>
      <c r="K10" s="18">
        <f>COUNTIFS(E2:E21,"&gt;60")</f>
        <v>10</v>
      </c>
      <c r="L10" s="18"/>
      <c r="M10" s="18"/>
      <c r="N10" s="18"/>
      <c r="O10" s="18"/>
    </row>
    <row r="11" spans="1:15" ht="15.5" customHeight="1" x14ac:dyDescent="0.35">
      <c r="A11" s="79">
        <v>1010</v>
      </c>
      <c r="B11" s="79" t="s">
        <v>55</v>
      </c>
      <c r="C11" s="79">
        <v>98</v>
      </c>
      <c r="D11" s="79">
        <v>54</v>
      </c>
      <c r="E11" s="79">
        <v>58</v>
      </c>
      <c r="F11" s="89">
        <v>44721</v>
      </c>
      <c r="G11" s="79">
        <f>AVERAGE('STUDENTS GRADE'!$C11,'STUDENTS GRADE'!$D11,'STUDENTS GRADE'!$E11)</f>
        <v>70</v>
      </c>
      <c r="H11" s="79" t="str">
        <f t="shared" si="0"/>
        <v>C</v>
      </c>
    </row>
    <row r="12" spans="1:15" ht="14.5" customHeight="1" x14ac:dyDescent="0.35">
      <c r="A12" s="87">
        <v>1011</v>
      </c>
      <c r="B12" s="87" t="s">
        <v>56</v>
      </c>
      <c r="C12" s="87">
        <v>73</v>
      </c>
      <c r="D12" s="87">
        <v>79</v>
      </c>
      <c r="E12" s="87">
        <v>53</v>
      </c>
      <c r="F12" s="88">
        <v>44901</v>
      </c>
      <c r="G12" s="87">
        <f>AVERAGE('STUDENTS GRADE'!$C12,'STUDENTS GRADE'!$D12,'STUDENTS GRADE'!$E12)</f>
        <v>68.333333333333329</v>
      </c>
      <c r="H12" s="87" t="str">
        <f t="shared" si="0"/>
        <v>C</v>
      </c>
    </row>
    <row r="13" spans="1:15" ht="14.5" customHeight="1" x14ac:dyDescent="0.35">
      <c r="A13" s="79">
        <v>1012</v>
      </c>
      <c r="B13" s="79" t="s">
        <v>57</v>
      </c>
      <c r="C13" s="79">
        <v>85</v>
      </c>
      <c r="D13" s="79">
        <v>89</v>
      </c>
      <c r="E13" s="79">
        <v>79</v>
      </c>
      <c r="F13" s="89">
        <v>45081</v>
      </c>
      <c r="G13" s="79">
        <f>AVERAGE('STUDENTS GRADE'!$C13,'STUDENTS GRADE'!$D13,'STUDENTS GRADE'!$E13)</f>
        <v>84.333333333333329</v>
      </c>
      <c r="H13" s="79" t="str">
        <f t="shared" si="0"/>
        <v>A</v>
      </c>
    </row>
    <row r="14" spans="1:15" ht="15.5" customHeight="1" x14ac:dyDescent="0.35">
      <c r="A14" s="87">
        <v>1013</v>
      </c>
      <c r="B14" s="87" t="s">
        <v>58</v>
      </c>
      <c r="C14" s="87">
        <v>98</v>
      </c>
      <c r="D14" s="87">
        <v>90</v>
      </c>
      <c r="E14" s="87">
        <v>97</v>
      </c>
      <c r="F14" s="88">
        <v>45261</v>
      </c>
      <c r="G14" s="87">
        <f>AVERAGE('STUDENTS GRADE'!$C14,'STUDENTS GRADE'!$D14,'STUDENTS GRADE'!$E14)</f>
        <v>95</v>
      </c>
      <c r="H14" s="87" t="str">
        <f t="shared" si="0"/>
        <v>A</v>
      </c>
    </row>
    <row r="15" spans="1:15" ht="15" customHeight="1" x14ac:dyDescent="0.35">
      <c r="A15" s="79">
        <v>1014</v>
      </c>
      <c r="B15" s="79" t="s">
        <v>59</v>
      </c>
      <c r="C15" s="79">
        <v>93</v>
      </c>
      <c r="D15" s="79">
        <v>40</v>
      </c>
      <c r="E15" s="79">
        <v>44</v>
      </c>
      <c r="F15" s="89">
        <v>45441</v>
      </c>
      <c r="G15" s="79">
        <f>AVERAGE('STUDENTS GRADE'!$C15,'STUDENTS GRADE'!$D15,'STUDENTS GRADE'!$E15)</f>
        <v>59</v>
      </c>
      <c r="H15" s="79" t="str">
        <f t="shared" si="0"/>
        <v>D</v>
      </c>
    </row>
    <row r="16" spans="1:15" ht="15" customHeight="1" x14ac:dyDescent="0.35">
      <c r="A16" s="87">
        <v>1015</v>
      </c>
      <c r="B16" s="87" t="s">
        <v>60</v>
      </c>
      <c r="C16" s="87">
        <v>70</v>
      </c>
      <c r="D16" s="87">
        <v>51</v>
      </c>
      <c r="E16" s="87">
        <v>75</v>
      </c>
      <c r="F16" s="88">
        <v>45621</v>
      </c>
      <c r="G16" s="87">
        <f>AVERAGE('STUDENTS GRADE'!$C16,'STUDENTS GRADE'!$D16,'STUDENTS GRADE'!$E16)</f>
        <v>65.333333333333329</v>
      </c>
      <c r="H16" s="87" t="str">
        <f t="shared" si="0"/>
        <v>C</v>
      </c>
    </row>
    <row r="17" spans="1:8" ht="15.5" customHeight="1" x14ac:dyDescent="0.35">
      <c r="A17" s="79">
        <v>1016</v>
      </c>
      <c r="B17" s="79" t="s">
        <v>61</v>
      </c>
      <c r="C17" s="79">
        <v>98</v>
      </c>
      <c r="D17" s="79">
        <v>77</v>
      </c>
      <c r="E17" s="79">
        <v>60</v>
      </c>
      <c r="F17" s="89">
        <v>45801</v>
      </c>
      <c r="G17" s="79">
        <f>AVERAGE('STUDENTS GRADE'!$C17,'STUDENTS GRADE'!$D17,'STUDENTS GRADE'!$E17)</f>
        <v>78.333333333333329</v>
      </c>
      <c r="H17" s="79" t="str">
        <f t="shared" si="0"/>
        <v>B</v>
      </c>
    </row>
    <row r="18" spans="1:8" ht="14.5" customHeight="1" x14ac:dyDescent="0.35">
      <c r="A18" s="87">
        <v>1017</v>
      </c>
      <c r="B18" s="87" t="s">
        <v>62</v>
      </c>
      <c r="C18" s="87">
        <v>66</v>
      </c>
      <c r="D18" s="87">
        <v>59</v>
      </c>
      <c r="E18" s="87">
        <v>40</v>
      </c>
      <c r="F18" s="88">
        <v>45981</v>
      </c>
      <c r="G18" s="87">
        <f>AVERAGE('STUDENTS GRADE'!$C18,'STUDENTS GRADE'!$D18,'STUDENTS GRADE'!$E18)</f>
        <v>55</v>
      </c>
      <c r="H18" s="87" t="str">
        <f t="shared" si="0"/>
        <v>D</v>
      </c>
    </row>
    <row r="19" spans="1:8" ht="12.5" customHeight="1" x14ac:dyDescent="0.35">
      <c r="A19" s="79">
        <v>1018</v>
      </c>
      <c r="B19" s="79" t="s">
        <v>63</v>
      </c>
      <c r="C19" s="79">
        <v>82</v>
      </c>
      <c r="D19" s="79">
        <v>48</v>
      </c>
      <c r="E19" s="79">
        <v>79</v>
      </c>
      <c r="F19" s="89">
        <v>46161</v>
      </c>
      <c r="G19" s="79">
        <f>AVERAGE('STUDENTS GRADE'!$C19,'STUDENTS GRADE'!$D19,'STUDENTS GRADE'!$E19)</f>
        <v>69.666666666666671</v>
      </c>
      <c r="H19" s="79" t="str">
        <f t="shared" si="0"/>
        <v>C</v>
      </c>
    </row>
    <row r="20" spans="1:8" ht="15.5" customHeight="1" x14ac:dyDescent="0.35">
      <c r="A20" s="87">
        <v>1019</v>
      </c>
      <c r="B20" s="87" t="s">
        <v>64</v>
      </c>
      <c r="C20" s="87">
        <v>90</v>
      </c>
      <c r="D20" s="87">
        <v>78</v>
      </c>
      <c r="E20" s="87">
        <v>60</v>
      </c>
      <c r="F20" s="88">
        <v>46341</v>
      </c>
      <c r="G20" s="87">
        <f>AVERAGE('STUDENTS GRADE'!$C20,'STUDENTS GRADE'!$D20,'STUDENTS GRADE'!$E20)</f>
        <v>76</v>
      </c>
      <c r="H20" s="87" t="str">
        <f t="shared" si="0"/>
        <v>B</v>
      </c>
    </row>
    <row r="21" spans="1:8" ht="16" customHeight="1" x14ac:dyDescent="0.35">
      <c r="A21" s="79">
        <v>1020</v>
      </c>
      <c r="B21" s="79" t="s">
        <v>65</v>
      </c>
      <c r="C21" s="79">
        <v>83</v>
      </c>
      <c r="D21" s="79">
        <v>92</v>
      </c>
      <c r="E21" s="79">
        <v>55</v>
      </c>
      <c r="F21" s="89">
        <v>46521</v>
      </c>
      <c r="G21" s="79">
        <f>AVERAGE('STUDENTS GRADE'!$C21,'STUDENTS GRADE'!$D21,'STUDENTS GRADE'!$E21)</f>
        <v>76.666666666666671</v>
      </c>
      <c r="H21" s="79" t="str">
        <f t="shared" si="0"/>
        <v>B</v>
      </c>
    </row>
    <row r="22" spans="1:8" ht="15" thickBot="1" x14ac:dyDescent="0.4">
      <c r="A22" s="83"/>
      <c r="B22" s="78"/>
      <c r="C22" s="78"/>
      <c r="D22" s="78"/>
      <c r="E22" s="78"/>
      <c r="F22" s="84"/>
      <c r="G22" s="82"/>
      <c r="H22" s="81"/>
    </row>
    <row r="23" spans="1:8" x14ac:dyDescent="0.35">
      <c r="A23" s="2"/>
      <c r="B23" s="2"/>
      <c r="C23" s="2"/>
      <c r="D23" s="2"/>
      <c r="E23" s="2"/>
      <c r="F23" s="3"/>
      <c r="G23" s="76"/>
      <c r="H23" s="77"/>
    </row>
    <row r="24" spans="1:8" x14ac:dyDescent="0.35">
      <c r="A24" s="2"/>
      <c r="B24" s="2"/>
      <c r="C24" s="2"/>
      <c r="D24" s="2"/>
      <c r="E24" s="2"/>
      <c r="F24" s="2"/>
      <c r="G24" s="76"/>
      <c r="H24" s="80"/>
    </row>
    <row r="25" spans="1:8" x14ac:dyDescent="0.35">
      <c r="A25" s="2"/>
      <c r="B25" s="2"/>
      <c r="C25" s="2"/>
      <c r="D25" s="2"/>
      <c r="E25" s="2"/>
      <c r="F25" s="2"/>
    </row>
    <row r="26" spans="1:8" x14ac:dyDescent="0.35">
      <c r="A26" s="2"/>
      <c r="B26" s="2"/>
      <c r="C26" s="2"/>
      <c r="D26" s="2"/>
      <c r="E26" s="2"/>
      <c r="F26" s="2"/>
    </row>
  </sheetData>
  <conditionalFormatting sqref="C1:E21">
    <cfRule type="colorScale" priority="1">
      <colorScale>
        <cfvo type="min"/>
        <cfvo type="percentile" val="50"/>
        <cfvo type="max"/>
        <color rgb="FFF8696B"/>
        <color rgb="FFFCFCFF"/>
        <color rgb="FF63BE7B"/>
      </colorScale>
    </cfRule>
    <cfRule type="colorScale" priority="2">
      <colorScale>
        <cfvo type="min"/>
        <cfvo type="max"/>
        <color rgb="FFF8696B"/>
        <color rgb="FFFCFCFF"/>
      </colorScale>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CB794-F3C2-4FF8-9390-7166AE13E26C}">
  <dimension ref="A1:R22"/>
  <sheetViews>
    <sheetView topLeftCell="E1" workbookViewId="0">
      <selection activeCell="N17" sqref="N17"/>
    </sheetView>
  </sheetViews>
  <sheetFormatPr defaultRowHeight="14.5" x14ac:dyDescent="0.35"/>
  <cols>
    <col min="1" max="1" width="9.26953125" customWidth="1"/>
    <col min="2" max="2" width="13.453125" customWidth="1"/>
    <col min="4" max="4" width="12.81640625" customWidth="1"/>
    <col min="5" max="5" width="11.08984375" bestFit="1" customWidth="1"/>
    <col min="6" max="6" width="17.1796875" customWidth="1"/>
    <col min="7" max="7" width="22.26953125" customWidth="1"/>
    <col min="8" max="8" width="14.54296875" customWidth="1"/>
    <col min="9" max="9" width="16.26953125" customWidth="1"/>
    <col min="10" max="10" width="9" customWidth="1"/>
  </cols>
  <sheetData>
    <row r="1" spans="1:18" ht="23" customHeight="1" thickBot="1" x14ac:dyDescent="0.4">
      <c r="A1" s="49" t="s">
        <v>66</v>
      </c>
      <c r="B1" s="49" t="s">
        <v>67</v>
      </c>
      <c r="C1" s="49" t="s">
        <v>68</v>
      </c>
      <c r="D1" s="49" t="s">
        <v>69</v>
      </c>
      <c r="E1" s="50" t="s">
        <v>70</v>
      </c>
      <c r="F1" s="51" t="s">
        <v>71</v>
      </c>
      <c r="G1" s="52" t="s">
        <v>129</v>
      </c>
      <c r="H1" s="52" t="s">
        <v>130</v>
      </c>
      <c r="I1" s="53" t="s">
        <v>155</v>
      </c>
      <c r="J1" s="54" t="s">
        <v>156</v>
      </c>
    </row>
    <row r="2" spans="1:18" ht="15.5" customHeight="1" thickBot="1" x14ac:dyDescent="0.4">
      <c r="A2" s="31">
        <v>2001</v>
      </c>
      <c r="B2" s="31" t="s">
        <v>72</v>
      </c>
      <c r="C2" s="31" t="s">
        <v>73</v>
      </c>
      <c r="D2" s="31" t="s">
        <v>74</v>
      </c>
      <c r="E2" s="32">
        <v>7048</v>
      </c>
      <c r="F2" s="33">
        <v>44927</v>
      </c>
      <c r="G2" s="34">
        <f>IF(E2&lt;5000,5%,IF(E2&lt;20000,10%,IF(E2&lt;30000,15%,20%)))</f>
        <v>0.1</v>
      </c>
      <c r="H2" s="35">
        <f>E2-(E2*G2)</f>
        <v>6343.2</v>
      </c>
      <c r="I2" s="105">
        <f>IF(B2="KEYBOARD",1001,IF(B2="PRINTER",1002,IF(B2="MOUSE",1003,IF(B2="LAPTOP",1004,IF(B2="MONITOR",1005)))))</f>
        <v>1001</v>
      </c>
      <c r="J2" s="106">
        <f>MONTH('SALES DATA'!$F2)</f>
        <v>1</v>
      </c>
    </row>
    <row r="3" spans="1:18" ht="15" thickBot="1" x14ac:dyDescent="0.4">
      <c r="A3" s="26">
        <v>2002</v>
      </c>
      <c r="B3" s="26" t="s">
        <v>75</v>
      </c>
      <c r="C3" s="26" t="s">
        <v>76</v>
      </c>
      <c r="D3" s="26" t="s">
        <v>77</v>
      </c>
      <c r="E3" s="27">
        <v>17428</v>
      </c>
      <c r="F3" s="28">
        <v>44942</v>
      </c>
      <c r="G3" s="36">
        <f t="shared" ref="G3:G21" si="0">IF(E3&lt;5000,5%,IF(E3&lt;20000,10%,IF(E3&lt;30000,15%,20%)))</f>
        <v>0.1</v>
      </c>
      <c r="H3" s="37">
        <f t="shared" ref="H3:H21" si="1">E3-(E3*G3)</f>
        <v>15685.2</v>
      </c>
      <c r="I3" s="107">
        <f t="shared" ref="I3:I21" si="2">IF(B3="KEYBOARD",1001,IF(B3="PRINTER",1002,IF(B3="MOUSE",1003,IF(B3="LAPTOP",1004,IF(B3="MONITOR",1005)))))</f>
        <v>1002</v>
      </c>
      <c r="J3" s="108">
        <f>MONTH('SALES DATA'!$F3)</f>
        <v>1</v>
      </c>
    </row>
    <row r="4" spans="1:18" ht="15" thickBot="1" x14ac:dyDescent="0.4">
      <c r="A4" s="31">
        <v>2003</v>
      </c>
      <c r="B4" s="31" t="s">
        <v>78</v>
      </c>
      <c r="C4" s="31" t="s">
        <v>73</v>
      </c>
      <c r="D4" s="31" t="s">
        <v>79</v>
      </c>
      <c r="E4" s="32">
        <v>23672</v>
      </c>
      <c r="F4" s="33">
        <v>44957</v>
      </c>
      <c r="G4" s="38">
        <f t="shared" si="0"/>
        <v>0.15</v>
      </c>
      <c r="H4" s="39">
        <f t="shared" si="1"/>
        <v>20121.2</v>
      </c>
      <c r="I4" s="109">
        <f t="shared" si="2"/>
        <v>1003</v>
      </c>
      <c r="J4" s="110">
        <f>MONTH('SALES DATA'!$F4)</f>
        <v>1</v>
      </c>
      <c r="M4" s="113" t="s">
        <v>162</v>
      </c>
      <c r="N4" s="113"/>
      <c r="O4" s="113"/>
      <c r="P4" s="59"/>
      <c r="Q4" s="59"/>
      <c r="R4" s="1"/>
    </row>
    <row r="5" spans="1:18" ht="15" thickBot="1" x14ac:dyDescent="0.4">
      <c r="A5" s="26">
        <v>2004</v>
      </c>
      <c r="B5" s="26" t="s">
        <v>75</v>
      </c>
      <c r="C5" s="26" t="s">
        <v>80</v>
      </c>
      <c r="D5" s="26" t="s">
        <v>81</v>
      </c>
      <c r="E5" s="27">
        <v>5264</v>
      </c>
      <c r="F5" s="28">
        <v>44972</v>
      </c>
      <c r="G5" s="36">
        <f t="shared" si="0"/>
        <v>0.1</v>
      </c>
      <c r="H5" s="37">
        <f t="shared" si="1"/>
        <v>4737.6000000000004</v>
      </c>
      <c r="I5" s="107">
        <f t="shared" si="2"/>
        <v>1002</v>
      </c>
      <c r="J5" s="108">
        <f>MONTH('SALES DATA'!$F5)</f>
        <v>2</v>
      </c>
      <c r="M5" s="1">
        <f>SUMIFS(E2:E21,C2:C21,"EAST",B2:B21,"LAPTOP")</f>
        <v>31238</v>
      </c>
      <c r="R5" s="1"/>
    </row>
    <row r="6" spans="1:18" ht="14.5" customHeight="1" thickBot="1" x14ac:dyDescent="0.4">
      <c r="A6" s="31">
        <v>2005</v>
      </c>
      <c r="B6" s="31" t="s">
        <v>72</v>
      </c>
      <c r="C6" s="31" t="s">
        <v>82</v>
      </c>
      <c r="D6" s="31" t="s">
        <v>83</v>
      </c>
      <c r="E6" s="32">
        <v>43388</v>
      </c>
      <c r="F6" s="33">
        <v>44987</v>
      </c>
      <c r="G6" s="38">
        <f t="shared" si="0"/>
        <v>0.2</v>
      </c>
      <c r="H6" s="39">
        <f t="shared" si="1"/>
        <v>34710.400000000001</v>
      </c>
      <c r="I6" s="109">
        <f t="shared" si="2"/>
        <v>1001</v>
      </c>
      <c r="J6" s="110">
        <f>MONTH('SALES DATA'!$F6)</f>
        <v>3</v>
      </c>
    </row>
    <row r="7" spans="1:18" ht="15" thickBot="1" x14ac:dyDescent="0.4">
      <c r="A7" s="26">
        <v>2006</v>
      </c>
      <c r="B7" s="26" t="s">
        <v>78</v>
      </c>
      <c r="C7" s="26" t="s">
        <v>82</v>
      </c>
      <c r="D7" s="26" t="s">
        <v>84</v>
      </c>
      <c r="E7" s="27">
        <v>19757</v>
      </c>
      <c r="F7" s="28">
        <v>45002</v>
      </c>
      <c r="G7" s="36">
        <f t="shared" si="0"/>
        <v>0.1</v>
      </c>
      <c r="H7" s="37">
        <f t="shared" si="1"/>
        <v>17781.3</v>
      </c>
      <c r="I7" s="107">
        <f t="shared" si="2"/>
        <v>1003</v>
      </c>
      <c r="J7" s="108">
        <f>MONTH('SALES DATA'!$F7)</f>
        <v>3</v>
      </c>
    </row>
    <row r="8" spans="1:18" ht="15" thickBot="1" x14ac:dyDescent="0.4">
      <c r="A8" s="31">
        <v>2007</v>
      </c>
      <c r="B8" s="31" t="s">
        <v>78</v>
      </c>
      <c r="C8" s="31" t="s">
        <v>80</v>
      </c>
      <c r="D8" s="31" t="s">
        <v>85</v>
      </c>
      <c r="E8" s="32">
        <v>32058</v>
      </c>
      <c r="F8" s="33">
        <v>45017</v>
      </c>
      <c r="G8" s="38">
        <f t="shared" si="0"/>
        <v>0.2</v>
      </c>
      <c r="H8" s="39">
        <f t="shared" si="1"/>
        <v>25646.400000000001</v>
      </c>
      <c r="I8" s="109">
        <f t="shared" si="2"/>
        <v>1003</v>
      </c>
      <c r="J8" s="110">
        <f>MONTH('SALES DATA'!$F8)</f>
        <v>4</v>
      </c>
    </row>
    <row r="9" spans="1:18" ht="15" customHeight="1" thickBot="1" x14ac:dyDescent="0.4">
      <c r="A9" s="26">
        <v>2008</v>
      </c>
      <c r="B9" s="26" t="s">
        <v>72</v>
      </c>
      <c r="C9" s="26" t="s">
        <v>80</v>
      </c>
      <c r="D9" s="26" t="s">
        <v>86</v>
      </c>
      <c r="E9" s="27">
        <v>46429</v>
      </c>
      <c r="F9" s="28">
        <v>45032</v>
      </c>
      <c r="G9" s="36">
        <f t="shared" si="0"/>
        <v>0.2</v>
      </c>
      <c r="H9" s="37">
        <f t="shared" si="1"/>
        <v>37143.199999999997</v>
      </c>
      <c r="I9" s="107">
        <f t="shared" si="2"/>
        <v>1001</v>
      </c>
      <c r="J9" s="108">
        <f>MONTH('SALES DATA'!$F9)</f>
        <v>4</v>
      </c>
    </row>
    <row r="10" spans="1:18" ht="15" thickBot="1" x14ac:dyDescent="0.4">
      <c r="A10" s="31">
        <v>2009</v>
      </c>
      <c r="B10" s="31" t="s">
        <v>75</v>
      </c>
      <c r="C10" s="31" t="s">
        <v>80</v>
      </c>
      <c r="D10" s="31" t="s">
        <v>87</v>
      </c>
      <c r="E10" s="32">
        <v>19746</v>
      </c>
      <c r="F10" s="33">
        <v>45047</v>
      </c>
      <c r="G10" s="38">
        <f t="shared" si="0"/>
        <v>0.1</v>
      </c>
      <c r="H10" s="39">
        <f t="shared" si="1"/>
        <v>17771.400000000001</v>
      </c>
      <c r="I10" s="109">
        <f t="shared" si="2"/>
        <v>1002</v>
      </c>
      <c r="J10" s="110">
        <f>MONTH('SALES DATA'!$F10)</f>
        <v>5</v>
      </c>
    </row>
    <row r="11" spans="1:18" ht="14" customHeight="1" thickBot="1" x14ac:dyDescent="0.4">
      <c r="A11" s="26">
        <v>2010</v>
      </c>
      <c r="B11" s="26" t="s">
        <v>72</v>
      </c>
      <c r="C11" s="26" t="s">
        <v>73</v>
      </c>
      <c r="D11" s="26" t="s">
        <v>88</v>
      </c>
      <c r="E11" s="27">
        <v>35185</v>
      </c>
      <c r="F11" s="28">
        <v>45062</v>
      </c>
      <c r="G11" s="36">
        <f t="shared" si="0"/>
        <v>0.2</v>
      </c>
      <c r="H11" s="37">
        <f t="shared" si="1"/>
        <v>28148</v>
      </c>
      <c r="I11" s="107">
        <f t="shared" si="2"/>
        <v>1001</v>
      </c>
      <c r="J11" s="108">
        <f>MONTH('SALES DATA'!$F11)</f>
        <v>5</v>
      </c>
    </row>
    <row r="12" spans="1:18" ht="16" customHeight="1" thickBot="1" x14ac:dyDescent="0.4">
      <c r="A12" s="31">
        <v>2011</v>
      </c>
      <c r="B12" s="31" t="s">
        <v>72</v>
      </c>
      <c r="C12" s="31" t="s">
        <v>80</v>
      </c>
      <c r="D12" s="31" t="s">
        <v>89</v>
      </c>
      <c r="E12" s="32">
        <v>33920</v>
      </c>
      <c r="F12" s="33">
        <v>45077</v>
      </c>
      <c r="G12" s="38">
        <f t="shared" si="0"/>
        <v>0.2</v>
      </c>
      <c r="H12" s="39">
        <f t="shared" si="1"/>
        <v>27136</v>
      </c>
      <c r="I12" s="109">
        <f t="shared" si="2"/>
        <v>1001</v>
      </c>
      <c r="J12" s="110">
        <f>MONTH('SALES DATA'!$F12)</f>
        <v>5</v>
      </c>
    </row>
    <row r="13" spans="1:18" ht="16" customHeight="1" thickBot="1" x14ac:dyDescent="0.4">
      <c r="A13" s="26">
        <v>2012</v>
      </c>
      <c r="B13" s="26" t="s">
        <v>90</v>
      </c>
      <c r="C13" s="26" t="s">
        <v>82</v>
      </c>
      <c r="D13" s="26" t="s">
        <v>91</v>
      </c>
      <c r="E13" s="27">
        <v>35611</v>
      </c>
      <c r="F13" s="28">
        <v>45092</v>
      </c>
      <c r="G13" s="36">
        <f t="shared" si="0"/>
        <v>0.2</v>
      </c>
      <c r="H13" s="37">
        <f t="shared" si="1"/>
        <v>28488.799999999999</v>
      </c>
      <c r="I13" s="107">
        <f t="shared" si="2"/>
        <v>1005</v>
      </c>
      <c r="J13" s="108">
        <f>MONTH('SALES DATA'!$F13)</f>
        <v>6</v>
      </c>
    </row>
    <row r="14" spans="1:18" ht="16" customHeight="1" thickBot="1" x14ac:dyDescent="0.4">
      <c r="A14" s="31">
        <v>2013</v>
      </c>
      <c r="B14" s="31" t="s">
        <v>92</v>
      </c>
      <c r="C14" s="31" t="s">
        <v>80</v>
      </c>
      <c r="D14" s="31" t="s">
        <v>93</v>
      </c>
      <c r="E14" s="32">
        <v>15560</v>
      </c>
      <c r="F14" s="33">
        <v>45107</v>
      </c>
      <c r="G14" s="38">
        <f t="shared" si="0"/>
        <v>0.1</v>
      </c>
      <c r="H14" s="39">
        <f t="shared" si="1"/>
        <v>14004</v>
      </c>
      <c r="I14" s="109">
        <f t="shared" si="2"/>
        <v>1004</v>
      </c>
      <c r="J14" s="110">
        <f>MONTH('SALES DATA'!$F14)</f>
        <v>6</v>
      </c>
    </row>
    <row r="15" spans="1:18" ht="16.5" customHeight="1" thickBot="1" x14ac:dyDescent="0.4">
      <c r="A15" s="26">
        <v>2014</v>
      </c>
      <c r="B15" s="26" t="s">
        <v>92</v>
      </c>
      <c r="C15" s="26" t="s">
        <v>73</v>
      </c>
      <c r="D15" s="26" t="s">
        <v>94</v>
      </c>
      <c r="E15" s="27">
        <v>7283</v>
      </c>
      <c r="F15" s="28">
        <v>45122</v>
      </c>
      <c r="G15" s="36">
        <f t="shared" si="0"/>
        <v>0.1</v>
      </c>
      <c r="H15" s="37">
        <f t="shared" si="1"/>
        <v>6554.7</v>
      </c>
      <c r="I15" s="107">
        <f t="shared" si="2"/>
        <v>1004</v>
      </c>
      <c r="J15" s="108">
        <f>MONTH('SALES DATA'!$F15)</f>
        <v>7</v>
      </c>
    </row>
    <row r="16" spans="1:18" ht="16" customHeight="1" thickBot="1" x14ac:dyDescent="0.4">
      <c r="A16" s="31">
        <v>2015</v>
      </c>
      <c r="B16" s="31" t="s">
        <v>92</v>
      </c>
      <c r="C16" s="31" t="s">
        <v>80</v>
      </c>
      <c r="D16" s="31" t="s">
        <v>95</v>
      </c>
      <c r="E16" s="32">
        <v>15678</v>
      </c>
      <c r="F16" s="33">
        <v>45137</v>
      </c>
      <c r="G16" s="38">
        <f t="shared" si="0"/>
        <v>0.1</v>
      </c>
      <c r="H16" s="39">
        <f t="shared" si="1"/>
        <v>14110.2</v>
      </c>
      <c r="I16" s="109">
        <f t="shared" si="2"/>
        <v>1004</v>
      </c>
      <c r="J16" s="110">
        <f>MONTH('SALES DATA'!$F16)</f>
        <v>7</v>
      </c>
    </row>
    <row r="17" spans="1:10" ht="14" customHeight="1" thickBot="1" x14ac:dyDescent="0.4">
      <c r="A17" s="26">
        <v>2016</v>
      </c>
      <c r="B17" s="26" t="s">
        <v>78</v>
      </c>
      <c r="C17" s="26" t="s">
        <v>80</v>
      </c>
      <c r="D17" s="26" t="s">
        <v>96</v>
      </c>
      <c r="E17" s="27">
        <v>5277</v>
      </c>
      <c r="F17" s="28">
        <v>45152</v>
      </c>
      <c r="G17" s="36">
        <f t="shared" si="0"/>
        <v>0.1</v>
      </c>
      <c r="H17" s="37">
        <f t="shared" si="1"/>
        <v>4749.3</v>
      </c>
      <c r="I17" s="107">
        <f t="shared" si="2"/>
        <v>1003</v>
      </c>
      <c r="J17" s="108">
        <f>MONTH('SALES DATA'!$F17)</f>
        <v>8</v>
      </c>
    </row>
    <row r="18" spans="1:10" ht="13.5" customHeight="1" thickBot="1" x14ac:dyDescent="0.4">
      <c r="A18" s="31">
        <v>2017</v>
      </c>
      <c r="B18" s="31" t="s">
        <v>90</v>
      </c>
      <c r="C18" s="31" t="s">
        <v>82</v>
      </c>
      <c r="D18" s="31" t="s">
        <v>97</v>
      </c>
      <c r="E18" s="32">
        <v>41871</v>
      </c>
      <c r="F18" s="33">
        <v>45167</v>
      </c>
      <c r="G18" s="38">
        <f t="shared" si="0"/>
        <v>0.2</v>
      </c>
      <c r="H18" s="39">
        <f t="shared" si="1"/>
        <v>33496.800000000003</v>
      </c>
      <c r="I18" s="109">
        <f t="shared" si="2"/>
        <v>1005</v>
      </c>
      <c r="J18" s="110">
        <f>MONTH('SALES DATA'!$F18)</f>
        <v>8</v>
      </c>
    </row>
    <row r="19" spans="1:10" ht="13" customHeight="1" thickBot="1" x14ac:dyDescent="0.4">
      <c r="A19" s="26">
        <v>2018</v>
      </c>
      <c r="B19" s="26" t="s">
        <v>90</v>
      </c>
      <c r="C19" s="26" t="s">
        <v>76</v>
      </c>
      <c r="D19" s="26" t="s">
        <v>98</v>
      </c>
      <c r="E19" s="27">
        <v>38161</v>
      </c>
      <c r="F19" s="28">
        <v>45182</v>
      </c>
      <c r="G19" s="36">
        <f t="shared" si="0"/>
        <v>0.2</v>
      </c>
      <c r="H19" s="37">
        <f t="shared" si="1"/>
        <v>30528.799999999999</v>
      </c>
      <c r="I19" s="107">
        <f t="shared" si="2"/>
        <v>1005</v>
      </c>
      <c r="J19" s="108">
        <f>MONTH('SALES DATA'!$F19)</f>
        <v>9</v>
      </c>
    </row>
    <row r="20" spans="1:10" ht="13" customHeight="1" thickBot="1" x14ac:dyDescent="0.4">
      <c r="A20" s="31">
        <v>2019</v>
      </c>
      <c r="B20" s="31" t="s">
        <v>78</v>
      </c>
      <c r="C20" s="31" t="s">
        <v>76</v>
      </c>
      <c r="D20" s="31" t="s">
        <v>99</v>
      </c>
      <c r="E20" s="32">
        <v>30436</v>
      </c>
      <c r="F20" s="33">
        <v>45197</v>
      </c>
      <c r="G20" s="38">
        <f t="shared" si="0"/>
        <v>0.2</v>
      </c>
      <c r="H20" s="39">
        <f t="shared" si="1"/>
        <v>24348.799999999999</v>
      </c>
      <c r="I20" s="109">
        <f t="shared" si="2"/>
        <v>1003</v>
      </c>
      <c r="J20" s="110">
        <f>MONTH('SALES DATA'!$F20)</f>
        <v>9</v>
      </c>
    </row>
    <row r="21" spans="1:10" ht="14.5" customHeight="1" thickBot="1" x14ac:dyDescent="0.4">
      <c r="A21" s="40">
        <v>2020</v>
      </c>
      <c r="B21" s="40" t="s">
        <v>75</v>
      </c>
      <c r="C21" s="40" t="s">
        <v>76</v>
      </c>
      <c r="D21" s="40" t="s">
        <v>100</v>
      </c>
      <c r="E21" s="41">
        <v>33953</v>
      </c>
      <c r="F21" s="42">
        <v>45212</v>
      </c>
      <c r="G21" s="43">
        <f t="shared" si="0"/>
        <v>0.2</v>
      </c>
      <c r="H21" s="44">
        <f t="shared" si="1"/>
        <v>27162.400000000001</v>
      </c>
      <c r="I21" s="111">
        <f t="shared" si="2"/>
        <v>1002</v>
      </c>
      <c r="J21" s="112">
        <f>MONTH('SALES DATA'!$F21)</f>
        <v>10</v>
      </c>
    </row>
    <row r="22" spans="1:10" x14ac:dyDescent="0.35">
      <c r="G22" s="2"/>
      <c r="H22" s="2"/>
      <c r="I22" s="2"/>
    </row>
  </sheetData>
  <phoneticPr fontId="9" type="noConversion"/>
  <conditionalFormatting sqref="M5:Q5">
    <cfRule type="top10" dxfId="0" priority="1" percent="1" rank="1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B5050-6DA7-4DCC-BEA8-08221A562985}">
  <dimension ref="A1:H23"/>
  <sheetViews>
    <sheetView workbookViewId="0">
      <selection activeCell="I9" sqref="I9"/>
    </sheetView>
  </sheetViews>
  <sheetFormatPr defaultRowHeight="14.5" x14ac:dyDescent="0.35"/>
  <cols>
    <col min="1" max="1" width="13.6328125" customWidth="1"/>
    <col min="2" max="2" width="11.6328125" customWidth="1"/>
    <col min="3" max="3" width="13.54296875" customWidth="1"/>
    <col min="4" max="4" width="14.6328125" style="5" customWidth="1"/>
    <col min="5" max="5" width="15.6328125" customWidth="1"/>
    <col min="6" max="6" width="13" bestFit="1" customWidth="1"/>
    <col min="7" max="7" width="14.26953125" customWidth="1"/>
    <col min="13" max="13" width="20.54296875" customWidth="1"/>
  </cols>
  <sheetData>
    <row r="1" spans="1:8" ht="29.5" thickBot="1" x14ac:dyDescent="0.4">
      <c r="A1" s="19" t="s">
        <v>101</v>
      </c>
      <c r="B1" s="19" t="s">
        <v>41</v>
      </c>
      <c r="C1" s="19" t="s">
        <v>102</v>
      </c>
      <c r="D1" s="20" t="s">
        <v>103</v>
      </c>
      <c r="E1" s="21" t="s">
        <v>104</v>
      </c>
      <c r="F1" s="22" t="s">
        <v>147</v>
      </c>
      <c r="G1" s="143"/>
      <c r="H1" s="143"/>
    </row>
    <row r="2" spans="1:8" ht="15" thickBot="1" x14ac:dyDescent="0.4">
      <c r="A2" s="23">
        <v>3001</v>
      </c>
      <c r="B2" s="23" t="s">
        <v>105</v>
      </c>
      <c r="C2" s="23" t="s">
        <v>106</v>
      </c>
      <c r="D2" s="24">
        <v>86766</v>
      </c>
      <c r="E2" s="25">
        <v>42005</v>
      </c>
      <c r="F2" s="55" t="str">
        <f>TEXT(E2,"mmmm")</f>
        <v>January</v>
      </c>
    </row>
    <row r="3" spans="1:8" ht="15" thickBot="1" x14ac:dyDescent="0.4">
      <c r="A3" s="26">
        <v>3002</v>
      </c>
      <c r="B3" s="26" t="s">
        <v>107</v>
      </c>
      <c r="C3" s="26" t="s">
        <v>106</v>
      </c>
      <c r="D3" s="27">
        <v>31943</v>
      </c>
      <c r="E3" s="28">
        <v>42255</v>
      </c>
      <c r="F3" s="55" t="str">
        <f t="shared" ref="F3:F21" si="0">TEXT(E3,"mmmm")</f>
        <v>September</v>
      </c>
    </row>
    <row r="4" spans="1:8" ht="15" thickBot="1" x14ac:dyDescent="0.4">
      <c r="A4" s="23">
        <v>3003</v>
      </c>
      <c r="B4" s="23" t="s">
        <v>108</v>
      </c>
      <c r="C4" s="23" t="s">
        <v>109</v>
      </c>
      <c r="D4" s="24">
        <v>63374</v>
      </c>
      <c r="E4" s="25">
        <v>42505</v>
      </c>
      <c r="F4" s="55" t="str">
        <f t="shared" si="0"/>
        <v>May</v>
      </c>
    </row>
    <row r="5" spans="1:8" ht="15" thickBot="1" x14ac:dyDescent="0.4">
      <c r="A5" s="26">
        <v>3004</v>
      </c>
      <c r="B5" s="26" t="s">
        <v>110</v>
      </c>
      <c r="C5" s="26" t="s">
        <v>106</v>
      </c>
      <c r="D5" s="27">
        <v>109972</v>
      </c>
      <c r="E5" s="28">
        <v>42755</v>
      </c>
      <c r="F5" s="55" t="str">
        <f t="shared" si="0"/>
        <v>January</v>
      </c>
    </row>
    <row r="6" spans="1:8" ht="15" thickBot="1" x14ac:dyDescent="0.4">
      <c r="A6" s="23">
        <v>3005</v>
      </c>
      <c r="B6" s="23" t="s">
        <v>111</v>
      </c>
      <c r="C6" s="23" t="s">
        <v>112</v>
      </c>
      <c r="D6" s="24">
        <v>54149</v>
      </c>
      <c r="E6" s="25">
        <v>43005</v>
      </c>
      <c r="F6" s="55" t="str">
        <f t="shared" si="0"/>
        <v>September</v>
      </c>
    </row>
    <row r="7" spans="1:8" ht="15" thickBot="1" x14ac:dyDescent="0.4">
      <c r="A7" s="26">
        <v>3006</v>
      </c>
      <c r="B7" s="26" t="s">
        <v>113</v>
      </c>
      <c r="C7" s="26" t="s">
        <v>112</v>
      </c>
      <c r="D7" s="27">
        <v>78689</v>
      </c>
      <c r="E7" s="28">
        <v>43255</v>
      </c>
      <c r="F7" s="55" t="str">
        <f t="shared" si="0"/>
        <v>June</v>
      </c>
    </row>
    <row r="8" spans="1:8" ht="15" thickBot="1" x14ac:dyDescent="0.4">
      <c r="A8" s="23">
        <v>3007</v>
      </c>
      <c r="B8" s="23" t="s">
        <v>114</v>
      </c>
      <c r="C8" s="23" t="s">
        <v>115</v>
      </c>
      <c r="D8" s="24">
        <v>35960</v>
      </c>
      <c r="E8" s="25">
        <v>43505</v>
      </c>
      <c r="F8" s="55" t="str">
        <f t="shared" si="0"/>
        <v>February</v>
      </c>
    </row>
    <row r="9" spans="1:8" ht="16.5" customHeight="1" thickBot="1" x14ac:dyDescent="0.4">
      <c r="A9" s="26">
        <v>3008</v>
      </c>
      <c r="B9" s="26" t="s">
        <v>116</v>
      </c>
      <c r="C9" s="26" t="s">
        <v>112</v>
      </c>
      <c r="D9" s="27">
        <v>91659</v>
      </c>
      <c r="E9" s="28">
        <v>43755</v>
      </c>
      <c r="F9" s="55" t="str">
        <f t="shared" si="0"/>
        <v>October</v>
      </c>
    </row>
    <row r="10" spans="1:8" ht="14.5" customHeight="1" thickBot="1" x14ac:dyDescent="0.4">
      <c r="A10" s="23">
        <v>3009</v>
      </c>
      <c r="B10" s="23" t="s">
        <v>117</v>
      </c>
      <c r="C10" s="23" t="s">
        <v>112</v>
      </c>
      <c r="D10" s="24">
        <v>90423</v>
      </c>
      <c r="E10" s="25">
        <v>44005</v>
      </c>
      <c r="F10" s="55" t="str">
        <f t="shared" si="0"/>
        <v>June</v>
      </c>
    </row>
    <row r="11" spans="1:8" ht="14" customHeight="1" thickBot="1" x14ac:dyDescent="0.4">
      <c r="A11" s="26">
        <v>3010</v>
      </c>
      <c r="B11" s="26" t="s">
        <v>118</v>
      </c>
      <c r="C11" s="26" t="s">
        <v>109</v>
      </c>
      <c r="D11" s="27">
        <v>107877</v>
      </c>
      <c r="E11" s="28">
        <v>44255</v>
      </c>
      <c r="F11" s="55" t="str">
        <f t="shared" si="0"/>
        <v>February</v>
      </c>
    </row>
    <row r="12" spans="1:8" ht="17.5" customHeight="1" thickBot="1" x14ac:dyDescent="0.4">
      <c r="A12" s="23">
        <v>3011</v>
      </c>
      <c r="B12" s="23" t="s">
        <v>119</v>
      </c>
      <c r="C12" s="23" t="s">
        <v>106</v>
      </c>
      <c r="D12" s="24">
        <v>107634</v>
      </c>
      <c r="E12" s="25">
        <v>44505</v>
      </c>
      <c r="F12" s="55" t="str">
        <f t="shared" si="0"/>
        <v>November</v>
      </c>
    </row>
    <row r="13" spans="1:8" ht="16" customHeight="1" thickBot="1" x14ac:dyDescent="0.4">
      <c r="A13" s="26">
        <v>3012</v>
      </c>
      <c r="B13" s="26" t="s">
        <v>120</v>
      </c>
      <c r="C13" s="26" t="s">
        <v>106</v>
      </c>
      <c r="D13" s="27">
        <v>35226</v>
      </c>
      <c r="E13" s="28">
        <v>44755</v>
      </c>
      <c r="F13" s="55" t="str">
        <f t="shared" si="0"/>
        <v>July</v>
      </c>
    </row>
    <row r="14" spans="1:8" ht="17" customHeight="1" thickBot="1" x14ac:dyDescent="0.4">
      <c r="A14" s="23">
        <v>3013</v>
      </c>
      <c r="B14" s="23" t="s">
        <v>121</v>
      </c>
      <c r="C14" s="23" t="s">
        <v>109</v>
      </c>
      <c r="D14" s="24">
        <v>40872</v>
      </c>
      <c r="E14" s="25">
        <v>45005</v>
      </c>
      <c r="F14" s="55" t="str">
        <f t="shared" si="0"/>
        <v>March</v>
      </c>
    </row>
    <row r="15" spans="1:8" ht="17" customHeight="1" thickBot="1" x14ac:dyDescent="0.4">
      <c r="A15" s="26">
        <v>3014</v>
      </c>
      <c r="B15" s="26" t="s">
        <v>122</v>
      </c>
      <c r="C15" s="26" t="s">
        <v>109</v>
      </c>
      <c r="D15" s="27">
        <v>55378</v>
      </c>
      <c r="E15" s="28">
        <v>45255</v>
      </c>
      <c r="F15" s="55" t="str">
        <f t="shared" si="0"/>
        <v>November</v>
      </c>
    </row>
    <row r="16" spans="1:8" ht="17" customHeight="1" thickBot="1" x14ac:dyDescent="0.4">
      <c r="A16" s="23">
        <v>3015</v>
      </c>
      <c r="B16" s="23" t="s">
        <v>123</v>
      </c>
      <c r="C16" s="23" t="s">
        <v>109</v>
      </c>
      <c r="D16" s="24">
        <v>63297</v>
      </c>
      <c r="E16" s="25">
        <v>45505</v>
      </c>
      <c r="F16" s="55" t="str">
        <f t="shared" si="0"/>
        <v>August</v>
      </c>
    </row>
    <row r="17" spans="1:6" ht="17" customHeight="1" thickBot="1" x14ac:dyDescent="0.4">
      <c r="A17" s="26">
        <v>3016</v>
      </c>
      <c r="B17" s="26" t="s">
        <v>124</v>
      </c>
      <c r="C17" s="26" t="s">
        <v>106</v>
      </c>
      <c r="D17" s="27">
        <v>114173</v>
      </c>
      <c r="E17" s="28">
        <v>45755</v>
      </c>
      <c r="F17" s="55" t="str">
        <f t="shared" si="0"/>
        <v>April</v>
      </c>
    </row>
    <row r="18" spans="1:6" ht="18" customHeight="1" thickBot="1" x14ac:dyDescent="0.4">
      <c r="A18" s="23">
        <v>3017</v>
      </c>
      <c r="B18" s="23" t="s">
        <v>125</v>
      </c>
      <c r="C18" s="23" t="s">
        <v>109</v>
      </c>
      <c r="D18" s="24">
        <v>86915</v>
      </c>
      <c r="E18" s="25">
        <v>46005</v>
      </c>
      <c r="F18" s="56" t="str">
        <f t="shared" si="0"/>
        <v>December</v>
      </c>
    </row>
    <row r="19" spans="1:6" ht="17.5" customHeight="1" thickBot="1" x14ac:dyDescent="0.4">
      <c r="A19" s="26">
        <v>3018</v>
      </c>
      <c r="B19" s="26" t="s">
        <v>126</v>
      </c>
      <c r="C19" s="26" t="s">
        <v>112</v>
      </c>
      <c r="D19" s="27">
        <v>116284</v>
      </c>
      <c r="E19" s="28">
        <v>46255</v>
      </c>
      <c r="F19" s="56" t="str">
        <f t="shared" si="0"/>
        <v>August</v>
      </c>
    </row>
    <row r="20" spans="1:6" ht="16.5" customHeight="1" thickBot="1" x14ac:dyDescent="0.4">
      <c r="A20" s="23">
        <v>3019</v>
      </c>
      <c r="B20" s="23" t="s">
        <v>127</v>
      </c>
      <c r="C20" s="23" t="s">
        <v>115</v>
      </c>
      <c r="D20" s="24">
        <v>116283</v>
      </c>
      <c r="E20" s="25">
        <v>46505</v>
      </c>
      <c r="F20" s="56" t="str">
        <f t="shared" si="0"/>
        <v>April</v>
      </c>
    </row>
    <row r="21" spans="1:6" ht="19" customHeight="1" thickBot="1" x14ac:dyDescent="0.4">
      <c r="A21" s="26">
        <v>3020</v>
      </c>
      <c r="B21" s="26" t="s">
        <v>128</v>
      </c>
      <c r="C21" s="26" t="s">
        <v>115</v>
      </c>
      <c r="D21" s="27">
        <v>99924</v>
      </c>
      <c r="E21" s="28">
        <v>46755</v>
      </c>
      <c r="F21" s="56" t="str">
        <f t="shared" si="0"/>
        <v>January</v>
      </c>
    </row>
    <row r="22" spans="1:6" ht="15" thickTop="1" x14ac:dyDescent="0.35">
      <c r="A22" s="29"/>
      <c r="B22" s="29"/>
      <c r="C22" s="29"/>
      <c r="D22" s="29"/>
      <c r="E22" s="29"/>
      <c r="F22" s="30"/>
    </row>
    <row r="23" spans="1:6" x14ac:dyDescent="0.35">
      <c r="A23" s="2"/>
      <c r="B23" s="2"/>
      <c r="C23" s="2"/>
      <c r="D23" s="4"/>
      <c r="E23" s="2"/>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34794-1934-40A6-8109-E6D1F7771C3D}">
  <dimension ref="A1:V55"/>
  <sheetViews>
    <sheetView tabSelected="1" topLeftCell="H1" workbookViewId="0">
      <selection activeCell="O9" sqref="O9"/>
    </sheetView>
  </sheetViews>
  <sheetFormatPr defaultRowHeight="14.5" x14ac:dyDescent="0.35"/>
  <cols>
    <col min="1" max="1" width="4.90625" customWidth="1"/>
    <col min="2" max="2" width="35.08984375" customWidth="1"/>
    <col min="3" max="3" width="7.54296875" customWidth="1"/>
    <col min="4" max="4" width="10.453125" customWidth="1"/>
    <col min="5" max="5" width="12.6328125" bestFit="1" customWidth="1"/>
    <col min="6" max="6" width="16.7265625" customWidth="1"/>
    <col min="7" max="7" width="4.453125" customWidth="1"/>
    <col min="8" max="8" width="46.7265625" customWidth="1"/>
    <col min="9" max="9" width="10.453125" customWidth="1"/>
    <col min="10" max="10" width="11.26953125" customWidth="1"/>
    <col min="11" max="11" width="36.36328125" customWidth="1"/>
    <col min="12" max="12" width="27.453125" customWidth="1"/>
    <col min="13" max="13" width="10.453125" customWidth="1"/>
    <col min="14" max="14" width="11.7265625" bestFit="1" customWidth="1"/>
  </cols>
  <sheetData>
    <row r="1" spans="1:22" x14ac:dyDescent="0.35">
      <c r="A1" s="114" t="s">
        <v>133</v>
      </c>
      <c r="B1" s="73" t="s">
        <v>131</v>
      </c>
      <c r="D1" s="115" t="s">
        <v>134</v>
      </c>
      <c r="E1" s="116" t="s">
        <v>132</v>
      </c>
      <c r="G1" s="114" t="s">
        <v>135</v>
      </c>
      <c r="H1" s="73" t="s">
        <v>157</v>
      </c>
      <c r="J1" s="65">
        <v>53</v>
      </c>
      <c r="K1" s="65" t="s">
        <v>178</v>
      </c>
    </row>
    <row r="2" spans="1:22" x14ac:dyDescent="0.35">
      <c r="A2" s="127"/>
      <c r="B2" s="121" t="str">
        <f>IF(AND('STUDENTS GRADE'!C2&gt;80,'STUDENTS GRADE'!D2&gt;80),"QUALIFIED","NOT QUALIFIED")</f>
        <v>NOT QUALIFIED</v>
      </c>
      <c r="D2" s="127"/>
      <c r="E2" s="124" t="str">
        <f>IF(OR('SALES DATA'!E2&gt;20000,),"ELIGIBLE","NOT ELIGIBLE")</f>
        <v>NOT ELIGIBLE</v>
      </c>
      <c r="G2" s="17"/>
      <c r="H2" s="47">
        <f>COUNTIFS('STUDENTS GRADE'!C:C,"&gt;50")</f>
        <v>19</v>
      </c>
      <c r="J2" s="75"/>
      <c r="K2" s="66">
        <f>ROUND('NEW TABLE'!D2,2)</f>
        <v>50164.45</v>
      </c>
      <c r="M2" s="145">
        <v>37</v>
      </c>
      <c r="N2" s="145" t="s">
        <v>184</v>
      </c>
      <c r="O2" s="144"/>
      <c r="P2" s="144"/>
      <c r="Q2" s="144"/>
      <c r="R2" s="144"/>
      <c r="S2" s="144"/>
      <c r="T2" s="144"/>
      <c r="U2" s="144"/>
    </row>
    <row r="3" spans="1:22" x14ac:dyDescent="0.35">
      <c r="A3" s="127"/>
      <c r="B3" s="122" t="str">
        <f>IF(AND('STUDENTS GRADE'!C3&gt;80,'STUDENTS GRADE'!D3&gt;80),"QUALIFIED","NOT QUALIFIED")</f>
        <v>NOT QUALIFIED</v>
      </c>
      <c r="D3" s="46"/>
      <c r="E3" s="125" t="str">
        <f>IF(OR('SALES DATA'!E3&gt;20000,),"ELIGIBLE","NOT ELIGIBLE")</f>
        <v>NOT ELIGIBLE</v>
      </c>
      <c r="H3" s="1"/>
      <c r="J3" s="75"/>
      <c r="K3" s="66">
        <f>ROUND('NEW TABLE'!D3,2)</f>
        <v>45846.65</v>
      </c>
      <c r="M3" s="66"/>
      <c r="N3" s="66" t="s">
        <v>158</v>
      </c>
      <c r="O3" s="66" t="s">
        <v>159</v>
      </c>
      <c r="P3" s="66"/>
      <c r="Q3" s="66"/>
      <c r="R3" s="66"/>
      <c r="S3" s="66"/>
      <c r="T3" s="66"/>
      <c r="U3" s="66"/>
    </row>
    <row r="4" spans="1:22" x14ac:dyDescent="0.35">
      <c r="A4" s="127"/>
      <c r="B4" s="121" t="str">
        <f>IF(AND('STUDENTS GRADE'!C4&gt;80,'STUDENTS GRADE'!D4&gt;80),"QUALIFIED","NOT QUALIFIED")</f>
        <v>NOT QUALIFIED</v>
      </c>
      <c r="D4" s="127"/>
      <c r="E4" s="124" t="str">
        <f>IF(OR('SALES DATA'!E4&gt;20000,),"ELIGIBLE","NOT ELIGIBLE")</f>
        <v>ELIGIBLE</v>
      </c>
      <c r="J4" s="75"/>
      <c r="K4" s="66">
        <f>ROUND('NEW TABLE'!D4,2)</f>
        <v>49527.54</v>
      </c>
      <c r="M4" s="66"/>
      <c r="N4" s="66">
        <v>3010</v>
      </c>
      <c r="O4" s="66">
        <f>_xlfn.XLOOKUP(N4,'EMPLOYEE DATA'!$A$2:$A$21,'EMPLOYEE DATA'!$D$2:$D$21,("NO FOUND"))</f>
        <v>107877</v>
      </c>
      <c r="P4" s="66"/>
      <c r="Q4" s="66"/>
      <c r="R4" s="66"/>
      <c r="S4" s="66"/>
      <c r="T4" s="66"/>
      <c r="U4" s="66"/>
    </row>
    <row r="5" spans="1:22" x14ac:dyDescent="0.35">
      <c r="A5" s="127"/>
      <c r="B5" s="122" t="str">
        <f>IF(AND('STUDENTS GRADE'!C5&gt;80,'STUDENTS GRADE'!D5&gt;80),"QUALIFIED","NOT QUALIFIED")</f>
        <v>NOT QUALIFIED</v>
      </c>
      <c r="D5" s="46"/>
      <c r="E5" s="125" t="str">
        <f>IF(OR('SALES DATA'!E5&gt;20000,),"ELIGIBLE","NOT ELIGIBLE")</f>
        <v>NOT ELIGIBLE</v>
      </c>
      <c r="G5" s="114" t="s">
        <v>137</v>
      </c>
      <c r="H5" s="73" t="s">
        <v>136</v>
      </c>
      <c r="J5" s="75"/>
      <c r="K5" s="66">
        <f>ROUND('NEW TABLE'!D5,2)</f>
        <v>46072.25</v>
      </c>
    </row>
    <row r="6" spans="1:22" x14ac:dyDescent="0.35">
      <c r="A6" s="127"/>
      <c r="B6" s="121" t="str">
        <f>IF(AND('STUDENTS GRADE'!C6&gt;80,'STUDENTS GRADE'!D6&gt;80),"QUALIFIED","NOT QUALIFIED")</f>
        <v>NOT QUALIFIED</v>
      </c>
      <c r="D6" s="127"/>
      <c r="E6" s="124" t="str">
        <f>IF(OR('SALES DATA'!E6&gt;20000,),"ELIGIBLE","NOT ELIGIBLE")</f>
        <v>ELIGIBLE</v>
      </c>
      <c r="G6" s="48"/>
      <c r="H6" s="47">
        <f>SUMIFS('SALES DATA'!E2:E21,'SALES DATA'!C2:C21,"EAST",'SALES DATA'!B2:B21,"LAPTOP")</f>
        <v>31238</v>
      </c>
      <c r="J6" s="75"/>
      <c r="K6" s="66">
        <f>ROUND('NEW TABLE'!D6,2)</f>
        <v>54451.46</v>
      </c>
    </row>
    <row r="7" spans="1:22" x14ac:dyDescent="0.35">
      <c r="A7" s="127"/>
      <c r="B7" s="122" t="str">
        <f>IF(AND('STUDENTS GRADE'!C7&gt;80,'STUDENTS GRADE'!D7&gt;80),"QUALIFIED","NOT QUALIFIED")</f>
        <v>NOT QUALIFIED</v>
      </c>
      <c r="D7" s="128"/>
      <c r="E7" s="125" t="str">
        <f>IF(OR('SALES DATA'!E7&gt;20000,),"ELIGIBLE","NOT ELIGIBLE")</f>
        <v>NOT ELIGIBLE</v>
      </c>
      <c r="H7" s="1"/>
      <c r="M7" s="65">
        <v>36</v>
      </c>
      <c r="N7" s="65" t="s">
        <v>185</v>
      </c>
      <c r="O7" s="64"/>
      <c r="P7" s="64"/>
      <c r="Q7" s="64"/>
      <c r="R7" s="64"/>
      <c r="S7" s="64"/>
      <c r="T7" s="64"/>
      <c r="U7" s="64"/>
      <c r="V7" s="64"/>
    </row>
    <row r="8" spans="1:22" x14ac:dyDescent="0.35">
      <c r="A8" s="127"/>
      <c r="B8" s="121" t="str">
        <f>IF(AND('STUDENTS GRADE'!C8&gt;80,'STUDENTS GRADE'!D8&gt;80),"QUALIFIED","NOT QUALIFIED")</f>
        <v>NOT QUALIFIED</v>
      </c>
      <c r="D8" s="127"/>
      <c r="E8" s="124" t="str">
        <f>IF(OR('SALES DATA'!E8&gt;20000,),"ELIGIBLE","NOT ELIGIBLE")</f>
        <v>ELIGIBLE</v>
      </c>
      <c r="O8" s="66">
        <f>_xlfn.XLOOKUP('SALES DATA'!D15,'SALES DATA'!D2:D21,'SALES DATA'!E2:E21,"Not Found")</f>
        <v>7283</v>
      </c>
    </row>
    <row r="9" spans="1:22" x14ac:dyDescent="0.35">
      <c r="A9" s="127"/>
      <c r="B9" s="122" t="str">
        <f>IF(AND('STUDENTS GRADE'!C9&gt;80,'STUDENTS GRADE'!D9&gt;80),"QUALIFIED","NOT QUALIFIED")</f>
        <v>NOT QUALIFIED</v>
      </c>
      <c r="D9" s="46"/>
      <c r="E9" s="125" t="str">
        <f>IF(OR('SALES DATA'!E9&gt;20000,),"ELIGIBLE","NOT ELIGIBLE")</f>
        <v>ELIGIBLE</v>
      </c>
    </row>
    <row r="10" spans="1:22" x14ac:dyDescent="0.35">
      <c r="A10" s="127"/>
      <c r="B10" s="121" t="str">
        <f>IF(AND('STUDENTS GRADE'!C10&gt;80,'STUDENTS GRADE'!D10&gt;80),"QUALIFIED","NOT QUALIFIED")</f>
        <v>NOT QUALIFIED</v>
      </c>
      <c r="D10" s="127"/>
      <c r="E10" s="124" t="str">
        <f>IF(OR('SALES DATA'!E10&gt;20000,),"ELIGIBLE","NOT ELIGIBLE")</f>
        <v>NOT ELIGIBLE</v>
      </c>
      <c r="J10" s="65">
        <v>53</v>
      </c>
      <c r="K10" s="65" t="s">
        <v>179</v>
      </c>
    </row>
    <row r="11" spans="1:22" x14ac:dyDescent="0.35">
      <c r="A11" s="127"/>
      <c r="B11" s="122" t="str">
        <f>IF(AND('STUDENTS GRADE'!C11&gt;80,'STUDENTS GRADE'!D11&gt;80),"QUALIFIED","NOT QUALIFIED")</f>
        <v>NOT QUALIFIED</v>
      </c>
      <c r="D11" s="46"/>
      <c r="E11" s="125" t="str">
        <f>IF(OR('SALES DATA'!E11&gt;20000,),"ELIGIBLE","NOT ELIGIBLE")</f>
        <v>ELIGIBLE</v>
      </c>
      <c r="G11" s="114" t="s">
        <v>141</v>
      </c>
      <c r="H11" s="73" t="s">
        <v>138</v>
      </c>
      <c r="K11" s="66">
        <f>CEILING('NEW TABLE'!D2,100)</f>
        <v>50200</v>
      </c>
    </row>
    <row r="12" spans="1:22" x14ac:dyDescent="0.35">
      <c r="A12" s="127"/>
      <c r="B12" s="121" t="str">
        <f>IF(AND('STUDENTS GRADE'!C12&gt;80,'STUDENTS GRADE'!D12&gt;80),"QUALIFIED","NOT QUALIFIED")</f>
        <v>NOT QUALIFIED</v>
      </c>
      <c r="D12" s="127"/>
      <c r="E12" s="124" t="str">
        <f>IF(OR('SALES DATA'!E12&gt;20000,),"ELIGIBLE","NOT ELIGIBLE")</f>
        <v>ELIGIBLE</v>
      </c>
      <c r="G12" s="45"/>
      <c r="H12" s="60">
        <f>AVERAGEIFS('STUDENTS GRADE'!C:C,'STUDENTS GRADE'!C:C,"&gt;60")</f>
        <v>82.263157894736835</v>
      </c>
      <c r="K12" s="66">
        <f>CEILING('NEW TABLE'!D3,100)</f>
        <v>45900</v>
      </c>
    </row>
    <row r="13" spans="1:22" x14ac:dyDescent="0.35">
      <c r="A13" s="127"/>
      <c r="B13" s="122" t="str">
        <f>IF(AND('STUDENTS GRADE'!C13&gt;80,'STUDENTS GRADE'!D13&gt;80),"QUALIFIED","NOT QUALIFIED")</f>
        <v>QUALIFIED</v>
      </c>
      <c r="D13" s="46"/>
      <c r="E13" s="125" t="str">
        <f>IF(OR('SALES DATA'!E13&gt;20000,),"ELIGIBLE","NOT ELIGIBLE")</f>
        <v>ELIGIBLE</v>
      </c>
      <c r="G13" s="46"/>
      <c r="H13" s="72" t="s">
        <v>139</v>
      </c>
      <c r="K13" s="66">
        <f>CEILING('NEW TABLE'!D4,100)</f>
        <v>49600</v>
      </c>
      <c r="M13" s="65">
        <v>32</v>
      </c>
      <c r="N13" s="65" t="s">
        <v>186</v>
      </c>
      <c r="O13" s="65"/>
      <c r="P13" s="65"/>
      <c r="Q13" s="65"/>
      <c r="R13" s="65"/>
      <c r="S13" s="65"/>
      <c r="T13" s="65"/>
      <c r="U13" s="65"/>
    </row>
    <row r="14" spans="1:22" x14ac:dyDescent="0.35">
      <c r="A14" s="127"/>
      <c r="B14" s="121" t="str">
        <f>IF(AND('STUDENTS GRADE'!C14&gt;80,'STUDENTS GRADE'!D14&gt;80),"QUALIFIED","NOT QUALIFIED")</f>
        <v>QUALIFIED</v>
      </c>
      <c r="D14" s="127"/>
      <c r="E14" s="124" t="str">
        <f>IF(OR('SALES DATA'!E14&gt;20000,),"ELIGIBLE","NOT ELIGIBLE")</f>
        <v>NOT ELIGIBLE</v>
      </c>
      <c r="G14" s="45"/>
      <c r="H14" s="60">
        <f>AVERAGEIFS('STUDENTS GRADE'!D:D,'STUDENTS GRADE'!D:D,"&gt;60")</f>
        <v>78.818181818181813</v>
      </c>
      <c r="K14" s="66">
        <f>CEILING('NEW TABLE'!D5,100)</f>
        <v>46100</v>
      </c>
      <c r="M14" s="131"/>
      <c r="N14" s="66" t="str">
        <f>LEFT('NEW TABLE'!B2,FIND(" ",'NEW TABLE'!B2)-1)</f>
        <v>Harsh</v>
      </c>
      <c r="O14" s="130"/>
      <c r="P14" s="130"/>
      <c r="Q14" s="130"/>
      <c r="R14" s="130"/>
      <c r="S14" s="130"/>
      <c r="T14" s="130"/>
      <c r="U14" s="130"/>
    </row>
    <row r="15" spans="1:22" x14ac:dyDescent="0.35">
      <c r="A15" s="127"/>
      <c r="B15" s="122" t="str">
        <f>IF(AND('STUDENTS GRADE'!C15&gt;80,'STUDENTS GRADE'!D15&gt;80),"QUALIFIED","NOT QUALIFIED")</f>
        <v>NOT QUALIFIED</v>
      </c>
      <c r="D15" s="46"/>
      <c r="E15" s="125" t="str">
        <f>IF(OR('SALES DATA'!E15&gt;20000,),"ELIGIBLE","NOT ELIGIBLE")</f>
        <v>NOT ELIGIBLE</v>
      </c>
      <c r="G15" s="46"/>
      <c r="H15" s="74" t="s">
        <v>140</v>
      </c>
      <c r="K15" s="66">
        <f>CEILING('NEW TABLE'!D6,100)</f>
        <v>54500</v>
      </c>
      <c r="M15" s="131"/>
      <c r="N15" s="66" t="str">
        <f>LEFT('NEW TABLE'!B3,FIND(" ",'NEW TABLE'!B3)-1)</f>
        <v>Kunj</v>
      </c>
      <c r="O15" s="130"/>
      <c r="P15" s="130"/>
      <c r="Q15" s="130"/>
      <c r="R15" s="130"/>
      <c r="S15" s="130"/>
      <c r="T15" s="130"/>
      <c r="U15" s="130"/>
    </row>
    <row r="16" spans="1:22" x14ac:dyDescent="0.35">
      <c r="A16" s="127"/>
      <c r="B16" s="121" t="str">
        <f>IF(AND('STUDENTS GRADE'!C16&gt;80,'STUDENTS GRADE'!D16&gt;80),"QUALIFIED","NOT QUALIFIED")</f>
        <v>NOT QUALIFIED</v>
      </c>
      <c r="D16" s="127"/>
      <c r="E16" s="124" t="str">
        <f>IF(OR('SALES DATA'!E16&gt;20000,),"ELIGIBLE","NOT ELIGIBLE")</f>
        <v>NOT ELIGIBLE</v>
      </c>
      <c r="G16" s="45"/>
      <c r="H16" s="60">
        <f>AVERAGEIFS('STUDENTS GRADE'!E:E,'STUDENTS GRADE'!E:E,"&gt;60")</f>
        <v>76.7</v>
      </c>
      <c r="M16" s="131"/>
      <c r="N16" s="66" t="str">
        <f>LEFT('NEW TABLE'!B4,FIND(" ",'NEW TABLE'!B4)-1)</f>
        <v>Ahmed</v>
      </c>
      <c r="O16" s="130"/>
      <c r="P16" s="130"/>
      <c r="Q16" s="130"/>
      <c r="R16" s="130"/>
      <c r="S16" s="130"/>
      <c r="T16" s="130"/>
      <c r="U16" s="130"/>
    </row>
    <row r="17" spans="1:21" x14ac:dyDescent="0.35">
      <c r="A17" s="127"/>
      <c r="B17" s="122" t="str">
        <f>IF(AND('STUDENTS GRADE'!C17&gt;80,'STUDENTS GRADE'!D17&gt;80),"QUALIFIED","NOT QUALIFIED")</f>
        <v>NOT QUALIFIED</v>
      </c>
      <c r="D17" s="46"/>
      <c r="E17" s="125" t="str">
        <f>IF(OR('SALES DATA'!E17&gt;20000,),"ELIGIBLE","NOT ELIGIBLE")</f>
        <v>NOT ELIGIBLE</v>
      </c>
      <c r="G17" s="16"/>
      <c r="H17" s="15"/>
      <c r="M17" s="131"/>
      <c r="N17" s="66" t="str">
        <f>LEFT('NEW TABLE'!B5,FIND(" ",'NEW TABLE'!B5)-1)</f>
        <v>Shrey</v>
      </c>
      <c r="O17" s="130"/>
      <c r="P17" s="130"/>
      <c r="Q17" s="130"/>
      <c r="R17" s="130"/>
      <c r="S17" s="130"/>
      <c r="T17" s="130"/>
      <c r="U17" s="130"/>
    </row>
    <row r="18" spans="1:21" x14ac:dyDescent="0.35">
      <c r="A18" s="127"/>
      <c r="B18" s="121" t="str">
        <f>IF(AND('STUDENTS GRADE'!C18&gt;80,'STUDENTS GRADE'!D18&gt;80),"QUALIFIED","NOT QUALIFIED")</f>
        <v>NOT QUALIFIED</v>
      </c>
      <c r="D18" s="127"/>
      <c r="E18" s="124" t="str">
        <f>IF(OR('SALES DATA'!E18&gt;20000,),"ELIGIBLE","NOT ELIGIBLE")</f>
        <v>ELIGIBLE</v>
      </c>
      <c r="J18" s="65">
        <v>53</v>
      </c>
      <c r="K18" s="65" t="s">
        <v>180</v>
      </c>
      <c r="M18" s="131"/>
      <c r="N18" s="66" t="str">
        <f>LEFT('NEW TABLE'!B6,FIND(" ",'NEW TABLE'!B6)-1)</f>
        <v>SAHIL</v>
      </c>
      <c r="O18" s="130"/>
      <c r="P18" s="130"/>
      <c r="Q18" s="130"/>
      <c r="R18" s="130"/>
      <c r="S18" s="130"/>
      <c r="T18" s="130"/>
      <c r="U18" s="130"/>
    </row>
    <row r="19" spans="1:21" x14ac:dyDescent="0.35">
      <c r="A19" s="127"/>
      <c r="B19" s="122" t="str">
        <f>IF(AND('STUDENTS GRADE'!C19&gt;80,'STUDENTS GRADE'!D19&gt;80),"QUALIFIED","NOT QUALIFIED")</f>
        <v>NOT QUALIFIED</v>
      </c>
      <c r="D19" s="46"/>
      <c r="E19" s="125" t="str">
        <f>IF(OR('SALES DATA'!E19&gt;20000,),"ELIGIBLE","NOT ELIGIBLE")</f>
        <v>ELIGIBLE</v>
      </c>
      <c r="G19" s="114" t="s">
        <v>144</v>
      </c>
      <c r="H19" s="73" t="s">
        <v>142</v>
      </c>
      <c r="K19" s="66">
        <f>FLOOR('NEW TABLE'!D2,100)</f>
        <v>50100</v>
      </c>
    </row>
    <row r="20" spans="1:21" x14ac:dyDescent="0.35">
      <c r="A20" s="127"/>
      <c r="B20" s="121" t="str">
        <f>IF(AND('STUDENTS GRADE'!C20&gt;80,'STUDENTS GRADE'!D20&gt;80),"QUALIFIED","NOT QUALIFIED")</f>
        <v>NOT QUALIFIED</v>
      </c>
      <c r="D20" s="127"/>
      <c r="E20" s="124" t="str">
        <f>IF(OR('SALES DATA'!E20&gt;20000,),"ELIGIBLE","NOT ELIGIBLE")</f>
        <v>ELIGIBLE</v>
      </c>
      <c r="G20" s="17"/>
      <c r="H20" s="47" t="str">
        <f>VLOOKUP('STUDENTS GRADE'!A5,'STUDENTS GRADE'!A:G,2,FALSE)</f>
        <v>Student 4</v>
      </c>
      <c r="K20" s="66">
        <f>FLOOR('NEW TABLE'!D3,100)</f>
        <v>45800</v>
      </c>
      <c r="M20" s="65">
        <v>33</v>
      </c>
      <c r="N20" s="65" t="s">
        <v>187</v>
      </c>
      <c r="O20" s="65"/>
      <c r="P20" s="65"/>
      <c r="Q20" s="65" t="s">
        <v>188</v>
      </c>
      <c r="R20" s="65"/>
      <c r="S20" s="65"/>
    </row>
    <row r="21" spans="1:21" x14ac:dyDescent="0.35">
      <c r="A21" s="127"/>
      <c r="B21" s="123" t="str">
        <f>IF(AND('STUDENTS GRADE'!C21&gt;80,'STUDENTS GRADE'!D21&gt;80),"QUALIFIED","NOT QUALIFIED")</f>
        <v>QUALIFIED</v>
      </c>
      <c r="D21" s="16"/>
      <c r="E21" s="126" t="str">
        <f>IF(OR('SALES DATA'!E21&gt;20000,),"ELIGIBLE","NOT ELIGIBLE")</f>
        <v>ELIGIBLE</v>
      </c>
      <c r="K21" s="66">
        <f>FLOOR('NEW TABLE'!D4,100)</f>
        <v>49500</v>
      </c>
      <c r="N21" s="66" t="str">
        <f>UPPER(N14)</f>
        <v>HARSH</v>
      </c>
      <c r="Q21" s="66" t="str">
        <f>LOWER(N21)</f>
        <v>harsh</v>
      </c>
    </row>
    <row r="22" spans="1:21" x14ac:dyDescent="0.35">
      <c r="A22" s="127"/>
      <c r="G22" s="114" t="s">
        <v>145</v>
      </c>
      <c r="H22" s="73" t="s">
        <v>143</v>
      </c>
      <c r="K22" s="66">
        <f>FLOOR('NEW TABLE'!D5,100)</f>
        <v>46000</v>
      </c>
      <c r="N22" s="66" t="str">
        <f t="shared" ref="N22:N24" si="0">UPPER(N15)</f>
        <v>KUNJ</v>
      </c>
      <c r="Q22" s="66" t="str">
        <f t="shared" ref="Q22:Q25" si="1">LOWER(N22)</f>
        <v>kunj</v>
      </c>
    </row>
    <row r="23" spans="1:21" x14ac:dyDescent="0.35">
      <c r="G23" s="17"/>
      <c r="H23" s="47">
        <f>VLOOKUP('SALES DATA'!A4,'SALES DATA'!A:F,5,FALSE)</f>
        <v>23672</v>
      </c>
      <c r="K23" s="66">
        <f>FLOOR('NEW TABLE'!D6,100)</f>
        <v>54400</v>
      </c>
      <c r="N23" s="66" t="str">
        <f t="shared" si="0"/>
        <v>AHMED</v>
      </c>
      <c r="Q23" s="66" t="str">
        <f t="shared" si="1"/>
        <v>ahmed</v>
      </c>
    </row>
    <row r="24" spans="1:21" x14ac:dyDescent="0.35">
      <c r="N24" s="66" t="str">
        <f t="shared" si="0"/>
        <v>SHREY</v>
      </c>
      <c r="Q24" s="66" t="str">
        <f t="shared" si="1"/>
        <v>shrey</v>
      </c>
    </row>
    <row r="25" spans="1:21" x14ac:dyDescent="0.35">
      <c r="N25" s="66" t="str">
        <f>UPPER(N18)</f>
        <v>SAHIL</v>
      </c>
      <c r="Q25" s="66" t="str">
        <f t="shared" si="1"/>
        <v>sahil</v>
      </c>
    </row>
    <row r="26" spans="1:21" x14ac:dyDescent="0.35">
      <c r="A26" s="120">
        <v>28</v>
      </c>
      <c r="B26" s="119" t="s">
        <v>146</v>
      </c>
      <c r="C26" s="140"/>
      <c r="D26" s="117"/>
      <c r="E26" s="118"/>
      <c r="F26" s="64"/>
      <c r="G26" s="130"/>
      <c r="H26" s="130"/>
      <c r="I26" s="130"/>
      <c r="J26" s="130"/>
      <c r="K26" s="130"/>
    </row>
    <row r="27" spans="1:21" x14ac:dyDescent="0.35">
      <c r="A27" s="129"/>
      <c r="B27" s="61">
        <f>INDEX('EMPLOYEE DATA'!D2:D21,MATCH('EMPLOYEE DATA'!A5,'EMPLOYEE DATA'!A2:A21,0))</f>
        <v>109972</v>
      </c>
      <c r="C27" s="142"/>
      <c r="D27" s="142"/>
      <c r="E27" s="141"/>
      <c r="G27" s="65">
        <v>29</v>
      </c>
      <c r="H27" s="65" t="s">
        <v>182</v>
      </c>
      <c r="I27" s="65"/>
      <c r="J27" s="65"/>
      <c r="K27" s="130"/>
    </row>
    <row r="28" spans="1:21" x14ac:dyDescent="0.35">
      <c r="H28" s="66" t="e">
        <f>INDEX('EMPLOYEE DATA'!D:D,MATCH('EMPLOYEE DATA'!G2,'EMPLOYEE DATA'!A:A,0))</f>
        <v>#N/A</v>
      </c>
    </row>
    <row r="30" spans="1:21" x14ac:dyDescent="0.35">
      <c r="C30" s="58"/>
      <c r="G30" s="65">
        <v>40</v>
      </c>
      <c r="H30" s="65" t="s">
        <v>163</v>
      </c>
      <c r="I30" s="67"/>
    </row>
    <row r="31" spans="1:21" ht="16" x14ac:dyDescent="0.4">
      <c r="A31" s="65">
        <v>6</v>
      </c>
      <c r="B31" s="62" t="s">
        <v>160</v>
      </c>
      <c r="C31" s="62" t="s">
        <v>161</v>
      </c>
      <c r="D31" s="57"/>
      <c r="E31" s="64"/>
      <c r="G31" s="132"/>
      <c r="H31" s="66">
        <f>_xlfn.XMATCH("LAPTOP",'SALES DATA'!B2:B21,0)</f>
        <v>13</v>
      </c>
      <c r="I31" s="133"/>
    </row>
    <row r="32" spans="1:21" ht="16" x14ac:dyDescent="0.4">
      <c r="B32" s="63">
        <f>SUM('STUDENTS GRADE'!$C$2+'STUDENTS GRADE'!E2)</f>
        <v>137</v>
      </c>
      <c r="C32" s="63">
        <f>AVERAGE('STUDENTS GRADE'!C2,'STUDENTS GRADE'!D2,'STUDENTS GRADE'!E2)</f>
        <v>61.666666666666664</v>
      </c>
      <c r="D32" s="63"/>
    </row>
    <row r="33" spans="2:18" ht="16" x14ac:dyDescent="0.4">
      <c r="B33" s="63">
        <f>SUM('STUDENTS GRADE'!$C$2+'STUDENTS GRADE'!E3)</f>
        <v>131</v>
      </c>
      <c r="C33" s="63">
        <f>AVERAGE('STUDENTS GRADE'!C3,'STUDENTS GRADE'!D3,'STUDENTS GRADE'!E3)</f>
        <v>74.666666666666671</v>
      </c>
      <c r="D33" s="63"/>
    </row>
    <row r="34" spans="2:18" ht="16" x14ac:dyDescent="0.4">
      <c r="B34" s="63">
        <f>SUM('STUDENTS GRADE'!$C$2+'STUDENTS GRADE'!E4)</f>
        <v>112</v>
      </c>
      <c r="C34" s="63">
        <f>AVERAGE('STUDENTS GRADE'!C4,'STUDENTS GRADE'!D4,'STUDENTS GRADE'!E4)</f>
        <v>69.333333333333329</v>
      </c>
      <c r="D34" s="63"/>
      <c r="G34" s="65">
        <v>43</v>
      </c>
      <c r="H34" s="65" t="s">
        <v>164</v>
      </c>
      <c r="I34" s="65"/>
    </row>
    <row r="35" spans="2:18" ht="16" x14ac:dyDescent="0.4">
      <c r="B35" s="63">
        <f>SUM('STUDENTS GRADE'!$C$2+'STUDENTS GRADE'!E5)</f>
        <v>107</v>
      </c>
      <c r="C35" s="63">
        <f>AVERAGE('STUDENTS GRADE'!C5,'STUDENTS GRADE'!D5,'STUDENTS GRADE'!E5)</f>
        <v>58.333333333333336</v>
      </c>
      <c r="D35" s="63"/>
      <c r="G35" s="130"/>
      <c r="H35" s="69" t="s">
        <v>165</v>
      </c>
      <c r="I35" s="66" cm="1">
        <f t="array" aca="1" ref="I35" ca="1">INDIRECT("B35")</f>
        <v>107</v>
      </c>
    </row>
    <row r="36" spans="2:18" ht="16" x14ac:dyDescent="0.4">
      <c r="B36" s="63">
        <f>SUM('STUDENTS GRADE'!$C$2+'STUDENTS GRADE'!E6)</f>
        <v>145</v>
      </c>
      <c r="C36" s="63">
        <f>AVERAGE('STUDENTS GRADE'!C6,'STUDENTS GRADE'!D6,'STUDENTS GRADE'!E6)</f>
        <v>75.333333333333329</v>
      </c>
      <c r="D36" s="63"/>
    </row>
    <row r="37" spans="2:18" ht="16" x14ac:dyDescent="0.4">
      <c r="B37" s="63">
        <f>SUM('STUDENTS GRADE'!$C$2+'STUDENTS GRADE'!E7)</f>
        <v>126</v>
      </c>
      <c r="C37" s="63">
        <f>AVERAGE('STUDENTS GRADE'!C7,'STUDENTS GRADE'!D7,'STUDENTS GRADE'!E7)</f>
        <v>71.666666666666671</v>
      </c>
      <c r="D37" s="63"/>
    </row>
    <row r="38" spans="2:18" ht="16" x14ac:dyDescent="0.4">
      <c r="B38" s="63">
        <f>SUM('STUDENTS GRADE'!$C$2+'STUDENTS GRADE'!E8)</f>
        <v>139</v>
      </c>
      <c r="C38" s="63">
        <f>AVERAGE('STUDENTS GRADE'!C8,'STUDENTS GRADE'!D8,'STUDENTS GRADE'!E8)</f>
        <v>66.666666666666671</v>
      </c>
      <c r="D38" s="63"/>
      <c r="G38" s="65">
        <v>46</v>
      </c>
      <c r="H38" s="65" t="s">
        <v>166</v>
      </c>
      <c r="I38" s="65"/>
    </row>
    <row r="39" spans="2:18" ht="16" x14ac:dyDescent="0.4">
      <c r="B39" s="63">
        <f>SUM('STUDENTS GRADE'!$C$2+'STUDENTS GRADE'!E9)</f>
        <v>125</v>
      </c>
      <c r="C39" s="63">
        <f>AVERAGE('STUDENTS GRADE'!C9,'STUDENTS GRADE'!D9,'STUDENTS GRADE'!E9)</f>
        <v>75</v>
      </c>
      <c r="D39" s="63"/>
      <c r="G39" s="130"/>
      <c r="H39" s="68">
        <f ca="1">SUM(OFFSET('SALES DATA'!E2,0,0,5,1))</f>
        <v>96800</v>
      </c>
      <c r="I39" s="131"/>
    </row>
    <row r="40" spans="2:18" ht="16" x14ac:dyDescent="0.4">
      <c r="B40" s="63">
        <f>SUM('STUDENTS GRADE'!$C$2+'STUDENTS GRADE'!E10)</f>
        <v>117</v>
      </c>
      <c r="C40" s="63">
        <f>AVERAGE('STUDENTS GRADE'!C10,'STUDENTS GRADE'!D10,'STUDENTS GRADE'!E10)</f>
        <v>57.333333333333336</v>
      </c>
      <c r="D40" s="63"/>
    </row>
    <row r="41" spans="2:18" ht="16" x14ac:dyDescent="0.4">
      <c r="B41" s="63">
        <f>SUM('STUDENTS GRADE'!$C$2+'STUDENTS GRADE'!E11)</f>
        <v>119</v>
      </c>
      <c r="C41" s="63">
        <f>AVERAGE('STUDENTS GRADE'!C11,'STUDENTS GRADE'!D11,'STUDENTS GRADE'!E11)</f>
        <v>70</v>
      </c>
      <c r="D41" s="63"/>
    </row>
    <row r="42" spans="2:18" ht="16" x14ac:dyDescent="0.4">
      <c r="B42" s="63">
        <f>SUM('STUDENTS GRADE'!$C$2+'STUDENTS GRADE'!E12)</f>
        <v>114</v>
      </c>
      <c r="C42" s="63">
        <f>AVERAGE('STUDENTS GRADE'!C12,'STUDENTS GRADE'!D12,'STUDENTS GRADE'!E12)</f>
        <v>68.333333333333329</v>
      </c>
      <c r="D42" s="63"/>
      <c r="G42" s="65">
        <v>49</v>
      </c>
      <c r="H42" s="65" t="s">
        <v>167</v>
      </c>
    </row>
    <row r="43" spans="2:18" ht="16" x14ac:dyDescent="0.4">
      <c r="B43" s="63">
        <f>SUM('STUDENTS GRADE'!$C$2+'STUDENTS GRADE'!E13)</f>
        <v>140</v>
      </c>
      <c r="C43" s="63">
        <f>AVERAGE('STUDENTS GRADE'!C13,'STUDENTS GRADE'!D13,'STUDENTS GRADE'!E13)</f>
        <v>84.333333333333329</v>
      </c>
      <c r="D43" s="63"/>
      <c r="G43" s="130"/>
      <c r="H43" s="66">
        <f ca="1">DATEDIF('NEW TABLE'!C2,TODAY(),"Y")</f>
        <v>21</v>
      </c>
      <c r="J43" s="65">
        <v>56</v>
      </c>
      <c r="K43" s="65" t="s">
        <v>181</v>
      </c>
      <c r="L43" s="65"/>
    </row>
    <row r="44" spans="2:18" ht="16" x14ac:dyDescent="0.4">
      <c r="B44" s="63">
        <f>SUM('STUDENTS GRADE'!$C$2+'STUDENTS GRADE'!E14)</f>
        <v>158</v>
      </c>
      <c r="C44" s="63">
        <f>AVERAGE('STUDENTS GRADE'!C14,'STUDENTS GRADE'!D14,'STUDENTS GRADE'!E14)</f>
        <v>95</v>
      </c>
      <c r="D44" s="63"/>
      <c r="G44" s="130"/>
      <c r="H44" s="66">
        <f ca="1">DATEDIF('NEW TABLE'!C3,TODAY(),"Y")</f>
        <v>23</v>
      </c>
      <c r="K44" s="66" cm="1">
        <f t="array" ref="K44:R45">_xlfn._xlws.FILTER('STUDENTS GRADE'!A2:H21,'STUDENTS GRADE'!G2:G21&gt;80,"NOT FOUND")</f>
        <v>1012</v>
      </c>
      <c r="L44" s="66" t="str">
        <v>Student 12</v>
      </c>
      <c r="M44" s="66">
        <v>85</v>
      </c>
      <c r="N44" s="66">
        <v>89</v>
      </c>
      <c r="O44" s="66">
        <v>79</v>
      </c>
      <c r="P44" s="66">
        <v>45081</v>
      </c>
      <c r="Q44" s="66">
        <v>84.333333333333329</v>
      </c>
      <c r="R44" s="66" t="str">
        <v>A</v>
      </c>
    </row>
    <row r="45" spans="2:18" ht="16" x14ac:dyDescent="0.4">
      <c r="B45" s="63">
        <f>SUM('STUDENTS GRADE'!$C$2+'STUDENTS GRADE'!E15)</f>
        <v>105</v>
      </c>
      <c r="C45" s="63">
        <f>AVERAGE('STUDENTS GRADE'!C15,'STUDENTS GRADE'!D15,'STUDENTS GRADE'!E15)</f>
        <v>59</v>
      </c>
      <c r="D45" s="63"/>
      <c r="G45" s="130"/>
      <c r="H45" s="66">
        <f ca="1">DATEDIF('NEW TABLE'!C4,TODAY(),"Y")</f>
        <v>21</v>
      </c>
      <c r="K45" s="66">
        <v>1013</v>
      </c>
      <c r="L45" s="66" t="str">
        <v>Student 13</v>
      </c>
      <c r="M45" s="66">
        <v>98</v>
      </c>
      <c r="N45" s="66">
        <v>90</v>
      </c>
      <c r="O45" s="66">
        <v>97</v>
      </c>
      <c r="P45" s="66">
        <v>45261</v>
      </c>
      <c r="Q45" s="66">
        <v>95</v>
      </c>
      <c r="R45" s="66" t="str">
        <v>A</v>
      </c>
    </row>
    <row r="46" spans="2:18" ht="16" x14ac:dyDescent="0.4">
      <c r="B46" s="63">
        <f>SUM('STUDENTS GRADE'!$C$2+'STUDENTS GRADE'!E16)</f>
        <v>136</v>
      </c>
      <c r="C46" s="63">
        <f>AVERAGE('STUDENTS GRADE'!C16,'STUDENTS GRADE'!D16,'STUDENTS GRADE'!E16)</f>
        <v>65.333333333333329</v>
      </c>
      <c r="D46" s="63"/>
      <c r="G46" s="130"/>
      <c r="H46" s="66">
        <f ca="1">DATEDIF('NEW TABLE'!C5,TODAY(),"Y")</f>
        <v>19</v>
      </c>
    </row>
    <row r="47" spans="2:18" ht="16" x14ac:dyDescent="0.4">
      <c r="B47" s="63">
        <f>SUM('STUDENTS GRADE'!$C$2+'STUDENTS GRADE'!E17)</f>
        <v>121</v>
      </c>
      <c r="C47" s="63">
        <f>AVERAGE('STUDENTS GRADE'!C17,'STUDENTS GRADE'!D17,'STUDENTS GRADE'!E17)</f>
        <v>78.333333333333329</v>
      </c>
      <c r="D47" s="63"/>
      <c r="G47" s="130"/>
      <c r="H47" s="66">
        <f ca="1">DATEDIF('NEW TABLE'!C6,TODAY(),"Y")</f>
        <v>26</v>
      </c>
    </row>
    <row r="48" spans="2:18" ht="16" x14ac:dyDescent="0.4">
      <c r="B48" s="63">
        <f>SUM('STUDENTS GRADE'!$C$2+'STUDENTS GRADE'!E18)</f>
        <v>101</v>
      </c>
      <c r="C48" s="63">
        <f>AVERAGE('STUDENTS GRADE'!C18,'STUDENTS GRADE'!D18,'STUDENTS GRADE'!E18)</f>
        <v>55</v>
      </c>
      <c r="D48" s="63"/>
    </row>
    <row r="49" spans="2:8" ht="16" x14ac:dyDescent="0.4">
      <c r="B49" s="63">
        <f>SUM('STUDENTS GRADE'!$C$2+'STUDENTS GRADE'!E19)</f>
        <v>140</v>
      </c>
      <c r="C49" s="63">
        <f>AVERAGE('STUDENTS GRADE'!C19,'STUDENTS GRADE'!D19,'STUDENTS GRADE'!E19)</f>
        <v>69.666666666666671</v>
      </c>
      <c r="D49" s="63"/>
    </row>
    <row r="50" spans="2:8" ht="16" x14ac:dyDescent="0.4">
      <c r="B50" s="63">
        <f>SUM('STUDENTS GRADE'!$C$2+'STUDENTS GRADE'!E20)</f>
        <v>121</v>
      </c>
      <c r="C50" s="63">
        <f>AVERAGE('STUDENTS GRADE'!C20,'STUDENTS GRADE'!D20,'STUDENTS GRADE'!E20)</f>
        <v>76</v>
      </c>
      <c r="D50" s="63"/>
      <c r="G50" s="71">
        <v>50</v>
      </c>
      <c r="H50" s="65" t="s">
        <v>177</v>
      </c>
    </row>
    <row r="51" spans="2:8" ht="16" x14ac:dyDescent="0.4">
      <c r="B51" s="63">
        <f>SUM('STUDENTS GRADE'!$C$2+'STUDENTS GRADE'!E21)</f>
        <v>116</v>
      </c>
      <c r="C51" s="63">
        <f>AVERAGE('STUDENTS GRADE'!C21,'STUDENTS GRADE'!D21,'STUDENTS GRADE'!E21)</f>
        <v>76.666666666666671</v>
      </c>
      <c r="D51" s="63"/>
      <c r="G51" s="131"/>
      <c r="H51" s="66">
        <f>_xlfn.DAYS('NEW TABLE'!E2,'NEW TABLE'!F2)</f>
        <v>271</v>
      </c>
    </row>
    <row r="52" spans="2:8" x14ac:dyDescent="0.35">
      <c r="G52" s="131"/>
      <c r="H52" s="66">
        <f>_xlfn.DAYS('NEW TABLE'!E3,'NEW TABLE'!F3)</f>
        <v>309</v>
      </c>
    </row>
    <row r="53" spans="2:8" x14ac:dyDescent="0.35">
      <c r="G53" s="131"/>
      <c r="H53" s="66">
        <f>_xlfn.DAYS('NEW TABLE'!E4,'NEW TABLE'!F4)</f>
        <v>113</v>
      </c>
    </row>
    <row r="54" spans="2:8" x14ac:dyDescent="0.35">
      <c r="G54" s="131"/>
      <c r="H54" s="66">
        <f>_xlfn.DAYS('NEW TABLE'!E5,'NEW TABLE'!F5)</f>
        <v>365</v>
      </c>
    </row>
    <row r="55" spans="2:8" x14ac:dyDescent="0.35">
      <c r="G55" s="131"/>
      <c r="H55" s="66">
        <f>_xlfn.DAYS('NEW TABLE'!E6,'NEW TABLE'!F6)</f>
        <v>337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B4010-FD22-40E5-BD08-7A6B19C8F8B0}">
  <dimension ref="A1:F7"/>
  <sheetViews>
    <sheetView workbookViewId="0">
      <selection activeCell="I10" sqref="I10"/>
    </sheetView>
  </sheetViews>
  <sheetFormatPr defaultRowHeight="14.5" x14ac:dyDescent="0.35"/>
  <cols>
    <col min="1" max="1" width="9" customWidth="1"/>
    <col min="2" max="2" width="21.453125" bestFit="1" customWidth="1"/>
    <col min="3" max="3" width="14.54296875" bestFit="1" customWidth="1"/>
    <col min="4" max="4" width="14.26953125" bestFit="1" customWidth="1"/>
    <col min="5" max="5" width="17.08984375" customWidth="1"/>
    <col min="6" max="6" width="14.54296875" bestFit="1" customWidth="1"/>
  </cols>
  <sheetData>
    <row r="1" spans="1:6" x14ac:dyDescent="0.35">
      <c r="A1" s="90" t="s">
        <v>168</v>
      </c>
      <c r="B1" s="90" t="s">
        <v>169</v>
      </c>
      <c r="C1" s="90" t="s">
        <v>170</v>
      </c>
      <c r="D1" s="90" t="s">
        <v>103</v>
      </c>
      <c r="E1" s="91" t="s">
        <v>171</v>
      </c>
      <c r="F1" s="92" t="s">
        <v>172</v>
      </c>
    </row>
    <row r="2" spans="1:6" x14ac:dyDescent="0.35">
      <c r="A2" s="93">
        <v>1</v>
      </c>
      <c r="B2" s="93" t="s">
        <v>173</v>
      </c>
      <c r="C2" s="94">
        <v>38214</v>
      </c>
      <c r="D2" s="93">
        <v>50164.451000000001</v>
      </c>
      <c r="E2" s="95">
        <v>45919</v>
      </c>
      <c r="F2" s="96">
        <v>45648</v>
      </c>
    </row>
    <row r="3" spans="1:6" x14ac:dyDescent="0.35">
      <c r="A3" s="97">
        <v>2</v>
      </c>
      <c r="B3" s="97" t="s">
        <v>174</v>
      </c>
      <c r="C3" s="98">
        <v>37719</v>
      </c>
      <c r="D3" s="97">
        <v>45846.650999999998</v>
      </c>
      <c r="E3" s="99">
        <v>46077</v>
      </c>
      <c r="F3" s="100">
        <v>45768</v>
      </c>
    </row>
    <row r="4" spans="1:6" x14ac:dyDescent="0.35">
      <c r="A4" s="93">
        <v>3</v>
      </c>
      <c r="B4" s="93" t="s">
        <v>175</v>
      </c>
      <c r="C4" s="94">
        <v>38464</v>
      </c>
      <c r="D4" s="93">
        <v>49527.540999999997</v>
      </c>
      <c r="E4" s="95">
        <v>45770</v>
      </c>
      <c r="F4" s="96">
        <v>45657</v>
      </c>
    </row>
    <row r="5" spans="1:6" x14ac:dyDescent="0.35">
      <c r="A5" s="97">
        <v>4</v>
      </c>
      <c r="B5" s="97" t="s">
        <v>176</v>
      </c>
      <c r="C5" s="98">
        <v>38941</v>
      </c>
      <c r="D5" s="97">
        <v>46072.250999999997</v>
      </c>
      <c r="E5" s="99">
        <v>45972</v>
      </c>
      <c r="F5" s="100">
        <v>45607</v>
      </c>
    </row>
    <row r="6" spans="1:6" x14ac:dyDescent="0.35">
      <c r="A6" s="101">
        <v>5</v>
      </c>
      <c r="B6" s="101" t="s">
        <v>189</v>
      </c>
      <c r="C6" s="102">
        <v>36544</v>
      </c>
      <c r="D6" s="101">
        <v>54451.455999999998</v>
      </c>
      <c r="E6" s="103">
        <v>45712</v>
      </c>
      <c r="F6" s="104">
        <v>45375</v>
      </c>
    </row>
    <row r="7" spans="1:6" x14ac:dyDescent="0.35">
      <c r="B7" s="70"/>
    </row>
  </sheetData>
  <conditionalFormatting sqref="A1:F6">
    <cfRule type="colorScale" priority="1">
      <colorScale>
        <cfvo type="min"/>
        <cfvo type="max"/>
        <color rgb="FF63BE7B"/>
        <color rgb="FFFCFCFF"/>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4B31E5E-34C6-4364-8465-862B106959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PROJECT INSTRUCTIONS</vt:lpstr>
      <vt:lpstr>STUDENTS GRADE</vt:lpstr>
      <vt:lpstr>SALES DATA</vt:lpstr>
      <vt:lpstr>EMPLOYEE DATA</vt:lpstr>
      <vt:lpstr>ANSWER SHEET</vt:lpstr>
      <vt:lpstr>NEW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pathan sahil</dc:creator>
  <cp:lastModifiedBy>pathan sahil</cp:lastModifiedBy>
  <dcterms:created xsi:type="dcterms:W3CDTF">2026-07-13T03:51:42Z</dcterms:created>
  <dcterms:modified xsi:type="dcterms:W3CDTF">2026-07-22T04:27:26Z</dcterms:modified>
</cp:coreProperties>
</file>